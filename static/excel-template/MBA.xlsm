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nhz/Desktop/POLYTEE/2026/plt-process/static/excel-template/"/>
    </mc:Choice>
  </mc:AlternateContent>
  <xr:revisionPtr revIDLastSave="0" documentId="13_ncr:1_{F135AC3F-10D2-5C4A-ABA2-9F1F1835DE57}" xr6:coauthVersionLast="47" xr6:coauthVersionMax="47" xr10:uidLastSave="{00000000-0000-0000-0000-000000000000}"/>
  <bookViews>
    <workbookView xWindow="0" yWindow="600" windowWidth="33600" windowHeight="19180" tabRatio="928" activeTab="1" xr2:uid="{59760D36-B76A-45FF-BBE4-9825C2B4682E}"/>
  </bookViews>
  <sheets>
    <sheet name="MBA1" sheetId="37" r:id="rId1"/>
    <sheet name="Tổn thất MBA" sheetId="23" r:id="rId2"/>
    <sheet name="TT MBA khô" sheetId="48" state="hidden" r:id="rId3"/>
    <sheet name="Tổn thất MBA khô" sheetId="27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8" i="37" l="1"/>
  <c r="U385" i="37"/>
  <c r="U386" i="37"/>
  <c r="U387" i="37"/>
  <c r="U388" i="37"/>
  <c r="U389" i="37"/>
  <c r="U390" i="37"/>
  <c r="U391" i="37"/>
  <c r="U392" i="37"/>
  <c r="U393" i="37"/>
  <c r="U394" i="37"/>
  <c r="U395" i="37"/>
  <c r="U396" i="37"/>
  <c r="U397" i="37"/>
  <c r="U398" i="37"/>
  <c r="U399" i="37"/>
  <c r="U400" i="37"/>
  <c r="U401" i="37"/>
  <c r="U402" i="37"/>
  <c r="U403" i="37"/>
  <c r="U404" i="37"/>
  <c r="U405" i="37"/>
  <c r="U406" i="37"/>
  <c r="U407" i="37"/>
  <c r="U408" i="37"/>
  <c r="U409" i="37"/>
  <c r="U410" i="37"/>
  <c r="U411" i="37"/>
  <c r="U412" i="37"/>
  <c r="U413" i="37"/>
  <c r="U414" i="37"/>
  <c r="U415" i="37"/>
  <c r="U416" i="37"/>
  <c r="U417" i="37"/>
  <c r="U418" i="37"/>
  <c r="U419" i="37"/>
  <c r="U420" i="37"/>
  <c r="U421" i="37"/>
  <c r="U422" i="37"/>
  <c r="U423" i="37"/>
  <c r="U424" i="37"/>
  <c r="U425" i="37"/>
  <c r="U426" i="37"/>
  <c r="U427" i="37"/>
  <c r="U428" i="37"/>
  <c r="U429" i="37"/>
  <c r="U430" i="37"/>
  <c r="U431" i="37"/>
  <c r="U432" i="37"/>
  <c r="U433" i="37"/>
  <c r="U434" i="37"/>
  <c r="U435" i="37"/>
  <c r="U436" i="37"/>
  <c r="U437" i="37"/>
  <c r="U438" i="37"/>
  <c r="U439" i="37"/>
  <c r="U440" i="37"/>
  <c r="U441" i="37"/>
  <c r="U442" i="37"/>
  <c r="U443" i="37"/>
  <c r="U444" i="37"/>
  <c r="U445" i="37"/>
  <c r="U446" i="37"/>
  <c r="U447" i="37"/>
  <c r="U448" i="37"/>
  <c r="U449" i="37"/>
  <c r="U450" i="37"/>
  <c r="U451" i="37"/>
  <c r="U452" i="37"/>
  <c r="U453" i="37"/>
  <c r="U454" i="37"/>
  <c r="U455" i="37"/>
  <c r="U456" i="37"/>
  <c r="U457" i="37"/>
  <c r="U458" i="37"/>
  <c r="U459" i="37"/>
  <c r="U460" i="37"/>
  <c r="U461" i="37"/>
  <c r="U462" i="37"/>
  <c r="U463" i="37"/>
  <c r="U464" i="37"/>
  <c r="U465" i="37"/>
  <c r="U466" i="37"/>
  <c r="U467" i="37"/>
  <c r="U468" i="37"/>
  <c r="U469" i="37"/>
  <c r="U470" i="37"/>
  <c r="U471" i="37"/>
  <c r="U472" i="37"/>
  <c r="U473" i="37"/>
  <c r="U474" i="37"/>
  <c r="U475" i="37"/>
  <c r="U476" i="37"/>
  <c r="U477" i="37"/>
  <c r="U478" i="37"/>
  <c r="U479" i="37"/>
  <c r="U480" i="37"/>
  <c r="U481" i="37"/>
  <c r="U482" i="37"/>
  <c r="U483" i="37"/>
  <c r="U484" i="37"/>
  <c r="U485" i="37"/>
  <c r="U486" i="37"/>
  <c r="U487" i="37"/>
  <c r="U488" i="37"/>
  <c r="U489" i="37"/>
  <c r="U490" i="37"/>
  <c r="U491" i="37"/>
  <c r="U492" i="37"/>
  <c r="U493" i="37"/>
  <c r="U494" i="37"/>
  <c r="U495" i="37"/>
  <c r="U496" i="37"/>
  <c r="U497" i="37"/>
  <c r="U498" i="37"/>
  <c r="U499" i="37"/>
  <c r="U500" i="37"/>
  <c r="U501" i="37"/>
  <c r="U502" i="37"/>
  <c r="U503" i="37"/>
  <c r="U504" i="37"/>
  <c r="U505" i="37"/>
  <c r="U506" i="37"/>
  <c r="U507" i="37"/>
  <c r="U508" i="37"/>
  <c r="U509" i="37"/>
  <c r="U510" i="37"/>
  <c r="U511" i="37"/>
  <c r="U512" i="37"/>
  <c r="U513" i="37"/>
  <c r="U514" i="37"/>
  <c r="U515" i="37"/>
  <c r="U516" i="37"/>
  <c r="U517" i="37"/>
  <c r="U518" i="37"/>
  <c r="U519" i="37"/>
  <c r="U520" i="37"/>
  <c r="U521" i="37"/>
  <c r="U522" i="37"/>
  <c r="U523" i="37"/>
  <c r="U524" i="37"/>
  <c r="U525" i="37"/>
  <c r="U526" i="37"/>
  <c r="U527" i="37"/>
  <c r="U528" i="37"/>
  <c r="U529" i="37"/>
  <c r="U530" i="37"/>
  <c r="U531" i="37"/>
  <c r="U532" i="37"/>
  <c r="U533" i="37"/>
  <c r="U534" i="37"/>
  <c r="U535" i="37"/>
  <c r="U536" i="37"/>
  <c r="U537" i="37"/>
  <c r="U538" i="37"/>
  <c r="U539" i="37"/>
  <c r="U540" i="37"/>
  <c r="U541" i="37"/>
  <c r="U542" i="37"/>
  <c r="U543" i="37"/>
  <c r="U544" i="37"/>
  <c r="U545" i="37"/>
  <c r="U546" i="37"/>
  <c r="U547" i="37"/>
  <c r="U548" i="37"/>
  <c r="U549" i="37"/>
  <c r="U550" i="37"/>
  <c r="U551" i="37"/>
  <c r="U552" i="37"/>
  <c r="U553" i="37"/>
  <c r="U554" i="37"/>
  <c r="U555" i="37"/>
  <c r="U556" i="37"/>
  <c r="U557" i="37"/>
  <c r="U558" i="37"/>
  <c r="U559" i="37"/>
  <c r="U560" i="37"/>
  <c r="U561" i="37"/>
  <c r="U562" i="37"/>
  <c r="U563" i="37"/>
  <c r="U564" i="37"/>
  <c r="U565" i="37"/>
  <c r="U566" i="37"/>
  <c r="U567" i="37"/>
  <c r="U568" i="37"/>
  <c r="U569" i="37"/>
  <c r="U570" i="37"/>
  <c r="U571" i="37"/>
  <c r="U572" i="37"/>
  <c r="U573" i="37"/>
  <c r="U574" i="37"/>
  <c r="U575" i="37"/>
  <c r="U576" i="37"/>
  <c r="U577" i="37"/>
  <c r="U578" i="37"/>
  <c r="U579" i="37"/>
  <c r="U580" i="37"/>
  <c r="U581" i="37"/>
  <c r="U582" i="37"/>
  <c r="U583" i="37"/>
  <c r="U584" i="37"/>
  <c r="U585" i="37"/>
  <c r="U586" i="37"/>
  <c r="U587" i="37"/>
  <c r="U588" i="37"/>
  <c r="U589" i="37"/>
  <c r="U590" i="37"/>
  <c r="U591" i="37"/>
  <c r="U592" i="37"/>
  <c r="U593" i="37"/>
  <c r="U594" i="37"/>
  <c r="U595" i="37"/>
  <c r="U596" i="37"/>
  <c r="U597" i="37"/>
  <c r="U598" i="37"/>
  <c r="U599" i="37"/>
  <c r="U600" i="37"/>
  <c r="U601" i="37"/>
  <c r="U602" i="37"/>
  <c r="U603" i="37"/>
  <c r="U604" i="37"/>
  <c r="U605" i="37"/>
  <c r="U606" i="37"/>
  <c r="U607" i="37"/>
  <c r="U608" i="37"/>
  <c r="U609" i="37"/>
  <c r="U610" i="37"/>
  <c r="U611" i="37"/>
  <c r="U612" i="37"/>
  <c r="U613" i="37"/>
  <c r="U614" i="37"/>
  <c r="U615" i="37"/>
  <c r="U616" i="37"/>
  <c r="U617" i="37"/>
  <c r="U618" i="37"/>
  <c r="U619" i="37"/>
  <c r="U620" i="37"/>
  <c r="U621" i="37"/>
  <c r="U622" i="37"/>
  <c r="U623" i="37"/>
  <c r="U624" i="37"/>
  <c r="U625" i="37"/>
  <c r="U626" i="37"/>
  <c r="U627" i="37"/>
  <c r="U628" i="37"/>
  <c r="U629" i="37"/>
  <c r="U630" i="37"/>
  <c r="U631" i="37"/>
  <c r="U632" i="37"/>
  <c r="U633" i="37"/>
  <c r="U634" i="37"/>
  <c r="U635" i="37"/>
  <c r="U636" i="37"/>
  <c r="U637" i="37"/>
  <c r="U638" i="37"/>
  <c r="U639" i="37"/>
  <c r="U640" i="37"/>
  <c r="U641" i="37"/>
  <c r="U642" i="37"/>
  <c r="U643" i="37"/>
  <c r="U644" i="37"/>
  <c r="U645" i="37"/>
  <c r="U646" i="37"/>
  <c r="U647" i="37"/>
  <c r="U648" i="37"/>
  <c r="U649" i="37"/>
  <c r="U650" i="37"/>
  <c r="U651" i="37"/>
  <c r="U652" i="37"/>
  <c r="U653" i="37"/>
  <c r="U654" i="37"/>
  <c r="U655" i="37"/>
  <c r="U656" i="37"/>
  <c r="U657" i="37"/>
  <c r="U658" i="37"/>
  <c r="U659" i="37"/>
  <c r="U660" i="37"/>
  <c r="U661" i="37"/>
  <c r="U662" i="37"/>
  <c r="U663" i="37"/>
  <c r="U664" i="37"/>
  <c r="U665" i="37"/>
  <c r="U666" i="37"/>
  <c r="U667" i="37"/>
  <c r="U668" i="37"/>
  <c r="U669" i="37"/>
  <c r="U670" i="37"/>
  <c r="U671" i="37"/>
  <c r="U672" i="37"/>
  <c r="U673" i="37"/>
  <c r="U674" i="37"/>
  <c r="U675" i="37"/>
  <c r="U676" i="37"/>
  <c r="U677" i="37"/>
  <c r="U678" i="37"/>
  <c r="U679" i="37"/>
  <c r="U680" i="37"/>
  <c r="U681" i="37"/>
  <c r="U682" i="37"/>
  <c r="U683" i="37"/>
  <c r="U684" i="37"/>
  <c r="U685" i="37"/>
  <c r="U686" i="37"/>
  <c r="U687" i="37"/>
  <c r="U688" i="37"/>
  <c r="U689" i="37"/>
  <c r="U690" i="37"/>
  <c r="U691" i="37"/>
  <c r="U692" i="37"/>
  <c r="U693" i="37"/>
  <c r="U694" i="37"/>
  <c r="U695" i="37"/>
  <c r="U696" i="37"/>
  <c r="U697" i="37"/>
  <c r="U698" i="37"/>
  <c r="U699" i="37"/>
  <c r="U700" i="37"/>
  <c r="U701" i="37"/>
  <c r="U702" i="37"/>
  <c r="U703" i="37"/>
  <c r="U704" i="37"/>
  <c r="U705" i="37"/>
  <c r="U706" i="37"/>
  <c r="U707" i="37"/>
  <c r="U708" i="37"/>
  <c r="U709" i="37"/>
  <c r="U710" i="37"/>
  <c r="U711" i="37"/>
  <c r="U712" i="37"/>
  <c r="U713" i="37"/>
  <c r="U714" i="37"/>
  <c r="U715" i="37"/>
  <c r="U716" i="37"/>
  <c r="U717" i="37"/>
  <c r="U718" i="37"/>
  <c r="U719" i="37"/>
  <c r="U720" i="37"/>
  <c r="U721" i="37"/>
  <c r="U722" i="37"/>
  <c r="U723" i="37"/>
  <c r="U724" i="37"/>
  <c r="U725" i="37"/>
  <c r="U726" i="37"/>
  <c r="U727" i="37"/>
  <c r="U728" i="37"/>
  <c r="U729" i="37"/>
  <c r="U730" i="37"/>
  <c r="U731" i="37"/>
  <c r="U732" i="37"/>
  <c r="U733" i="37"/>
  <c r="U734" i="37"/>
  <c r="U735" i="37"/>
  <c r="U736" i="37"/>
  <c r="U737" i="37"/>
  <c r="U738" i="37"/>
  <c r="U739" i="37"/>
  <c r="U740" i="37"/>
  <c r="U741" i="37"/>
  <c r="U742" i="37"/>
  <c r="U743" i="37"/>
  <c r="U744" i="37"/>
  <c r="U745" i="37"/>
  <c r="U746" i="37"/>
  <c r="U747" i="37"/>
  <c r="U748" i="37"/>
  <c r="U749" i="37"/>
  <c r="U750" i="37"/>
  <c r="U751" i="37"/>
  <c r="U752" i="37"/>
  <c r="U753" i="37"/>
  <c r="U754" i="37"/>
  <c r="U755" i="37"/>
  <c r="U756" i="37"/>
  <c r="U757" i="37"/>
  <c r="U758" i="37"/>
  <c r="U759" i="37"/>
  <c r="U760" i="37"/>
  <c r="U761" i="37"/>
  <c r="U762" i="37"/>
  <c r="U763" i="37"/>
  <c r="U764" i="37"/>
  <c r="U765" i="37"/>
  <c r="U766" i="37"/>
  <c r="U767" i="37"/>
  <c r="U768" i="37"/>
  <c r="U769" i="37"/>
  <c r="U770" i="37"/>
  <c r="U771" i="37"/>
  <c r="U772" i="37"/>
  <c r="U773" i="37"/>
  <c r="U774" i="37"/>
  <c r="U775" i="37"/>
  <c r="U776" i="37"/>
  <c r="U777" i="37"/>
  <c r="U778" i="37"/>
  <c r="U779" i="37"/>
  <c r="U780" i="37"/>
  <c r="U781" i="37"/>
  <c r="U782" i="37"/>
  <c r="U783" i="37"/>
  <c r="U784" i="37"/>
  <c r="U785" i="37"/>
  <c r="U786" i="37"/>
  <c r="U787" i="37"/>
  <c r="U788" i="37"/>
  <c r="U789" i="37"/>
  <c r="U790" i="37"/>
  <c r="U791" i="37"/>
  <c r="U792" i="37"/>
  <c r="U793" i="37"/>
  <c r="U794" i="37"/>
  <c r="U795" i="37"/>
  <c r="U796" i="37"/>
  <c r="U797" i="37"/>
  <c r="U798" i="37"/>
  <c r="U799" i="37"/>
  <c r="U800" i="37"/>
  <c r="U801" i="37"/>
  <c r="U802" i="37"/>
  <c r="U803" i="37"/>
  <c r="U804" i="37"/>
  <c r="U805" i="37"/>
  <c r="U806" i="37"/>
  <c r="U807" i="37"/>
  <c r="U808" i="37"/>
  <c r="U809" i="37"/>
  <c r="U810" i="37"/>
  <c r="U811" i="37"/>
  <c r="U812" i="37"/>
  <c r="U813" i="37"/>
  <c r="U814" i="37"/>
  <c r="U815" i="37"/>
  <c r="U816" i="37"/>
  <c r="U817" i="37"/>
  <c r="U818" i="37"/>
  <c r="U819" i="37"/>
  <c r="U820" i="37"/>
  <c r="U821" i="37"/>
  <c r="U822" i="37"/>
  <c r="U823" i="37"/>
  <c r="U824" i="37"/>
  <c r="U825" i="37"/>
  <c r="U826" i="37"/>
  <c r="U827" i="37"/>
  <c r="U828" i="37"/>
  <c r="U829" i="37"/>
  <c r="U830" i="37"/>
  <c r="U831" i="37"/>
  <c r="U832" i="37"/>
  <c r="U833" i="37"/>
  <c r="U834" i="37"/>
  <c r="U835" i="37"/>
  <c r="U836" i="37"/>
  <c r="U837" i="37"/>
  <c r="U838" i="37"/>
  <c r="U839" i="37"/>
  <c r="U840" i="37"/>
  <c r="U841" i="37"/>
  <c r="U842" i="37"/>
  <c r="U843" i="37"/>
  <c r="U844" i="37"/>
  <c r="U845" i="37"/>
  <c r="U846" i="37"/>
  <c r="U847" i="37"/>
  <c r="U848" i="37"/>
  <c r="U849" i="37"/>
  <c r="U850" i="37"/>
  <c r="U851" i="37"/>
  <c r="U852" i="37"/>
  <c r="U853" i="37"/>
  <c r="U854" i="37"/>
  <c r="U855" i="37"/>
  <c r="U856" i="37"/>
  <c r="U857" i="37"/>
  <c r="U858" i="37"/>
  <c r="U859" i="37"/>
  <c r="U860" i="37"/>
  <c r="U861" i="37"/>
  <c r="U862" i="37"/>
  <c r="U863" i="37"/>
  <c r="U864" i="37"/>
  <c r="U865" i="37"/>
  <c r="U866" i="37"/>
  <c r="U867" i="37"/>
  <c r="U868" i="37"/>
  <c r="U869" i="37"/>
  <c r="U870" i="37"/>
  <c r="U871" i="37"/>
  <c r="U872" i="37"/>
  <c r="U873" i="37"/>
  <c r="U874" i="37"/>
  <c r="U875" i="37"/>
  <c r="U876" i="37"/>
  <c r="U877" i="37"/>
  <c r="U878" i="37"/>
  <c r="U879" i="37"/>
  <c r="U880" i="37"/>
  <c r="U881" i="37"/>
  <c r="U882" i="37"/>
  <c r="U883" i="37"/>
  <c r="U884" i="37"/>
  <c r="U885" i="37"/>
  <c r="U886" i="37"/>
  <c r="U887" i="37"/>
  <c r="U888" i="37"/>
  <c r="U889" i="37"/>
  <c r="U890" i="37"/>
  <c r="U891" i="37"/>
  <c r="U892" i="37"/>
  <c r="U893" i="37"/>
  <c r="U894" i="37"/>
  <c r="U895" i="37"/>
  <c r="U896" i="37"/>
  <c r="U897" i="37"/>
  <c r="U898" i="37"/>
  <c r="U899" i="37"/>
  <c r="U900" i="37"/>
  <c r="U901" i="37"/>
  <c r="U902" i="37"/>
  <c r="U903" i="37"/>
  <c r="U904" i="37"/>
  <c r="U905" i="37"/>
  <c r="U906" i="37"/>
  <c r="U907" i="37"/>
  <c r="U908" i="37"/>
  <c r="U909" i="37"/>
  <c r="U910" i="37"/>
  <c r="U911" i="37"/>
  <c r="U912" i="37"/>
  <c r="U913" i="37"/>
  <c r="U914" i="37"/>
  <c r="U915" i="37"/>
  <c r="U916" i="37"/>
  <c r="U917" i="37"/>
  <c r="U918" i="37"/>
  <c r="U919" i="37"/>
  <c r="U920" i="37"/>
  <c r="U921" i="37"/>
  <c r="U922" i="37"/>
  <c r="U923" i="37"/>
  <c r="U924" i="37"/>
  <c r="U925" i="37"/>
  <c r="U926" i="37"/>
  <c r="U927" i="37"/>
  <c r="U928" i="37"/>
  <c r="U929" i="37"/>
  <c r="U930" i="37"/>
  <c r="U931" i="37"/>
  <c r="U932" i="37"/>
  <c r="U933" i="37"/>
  <c r="U934" i="37"/>
  <c r="U935" i="37"/>
  <c r="U936" i="37"/>
  <c r="U937" i="37"/>
  <c r="U938" i="37"/>
  <c r="U939" i="37"/>
  <c r="U940" i="37"/>
  <c r="U941" i="37"/>
  <c r="U942" i="37"/>
  <c r="U943" i="37"/>
  <c r="U944" i="37"/>
  <c r="U945" i="37"/>
  <c r="U946" i="37"/>
  <c r="U947" i="37"/>
  <c r="U948" i="37"/>
  <c r="U949" i="37"/>
  <c r="U950" i="37"/>
  <c r="U951" i="37"/>
  <c r="U952" i="37"/>
  <c r="U953" i="37"/>
  <c r="U954" i="37"/>
  <c r="U955" i="37"/>
  <c r="U956" i="37"/>
  <c r="U957" i="37"/>
  <c r="U958" i="37"/>
  <c r="U959" i="37"/>
  <c r="U960" i="37"/>
  <c r="U961" i="37"/>
  <c r="U962" i="37"/>
  <c r="U963" i="37"/>
  <c r="U964" i="37"/>
  <c r="U965" i="37"/>
  <c r="U966" i="37"/>
  <c r="U967" i="37"/>
  <c r="U968" i="37"/>
  <c r="U969" i="37"/>
  <c r="U970" i="37"/>
  <c r="U971" i="37"/>
  <c r="U972" i="37"/>
  <c r="U973" i="37"/>
  <c r="U974" i="37"/>
  <c r="U975" i="37"/>
  <c r="U976" i="37"/>
  <c r="U977" i="37"/>
  <c r="U978" i="37"/>
  <c r="U979" i="37"/>
  <c r="U980" i="37"/>
  <c r="U981" i="37"/>
  <c r="U982" i="37"/>
  <c r="U983" i="37"/>
  <c r="U984" i="37"/>
  <c r="U985" i="37"/>
  <c r="U986" i="37"/>
  <c r="U987" i="37"/>
  <c r="U988" i="37"/>
  <c r="U989" i="37"/>
  <c r="U990" i="37"/>
  <c r="U991" i="37"/>
  <c r="U992" i="37"/>
  <c r="U993" i="37"/>
  <c r="U994" i="37"/>
  <c r="U995" i="37"/>
  <c r="U996" i="37"/>
  <c r="U997" i="37"/>
  <c r="U998" i="37"/>
  <c r="U999" i="37"/>
  <c r="U1000" i="37"/>
  <c r="U1001" i="37"/>
  <c r="U1002" i="37"/>
  <c r="U1003" i="37"/>
  <c r="U1004" i="37"/>
  <c r="U1005" i="37"/>
  <c r="U1006" i="37"/>
  <c r="U1007" i="37"/>
  <c r="U1008" i="37"/>
  <c r="U1009" i="37"/>
  <c r="U1010" i="37"/>
  <c r="U1011" i="37"/>
  <c r="U1012" i="37"/>
  <c r="U1013" i="37"/>
  <c r="U1014" i="37"/>
  <c r="U1015" i="37"/>
  <c r="U1016" i="37"/>
  <c r="U1017" i="37"/>
  <c r="U1018" i="37"/>
  <c r="U1019" i="37"/>
  <c r="U1020" i="37"/>
  <c r="U1021" i="37"/>
  <c r="U1022" i="37"/>
  <c r="U1023" i="37"/>
  <c r="U1024" i="37"/>
  <c r="U1025" i="37"/>
  <c r="U1026" i="37"/>
  <c r="U1027" i="37"/>
  <c r="U1028" i="37"/>
  <c r="U1029" i="37"/>
  <c r="U1030" i="37"/>
  <c r="U1031" i="37"/>
  <c r="U1032" i="37"/>
  <c r="U1033" i="37"/>
  <c r="U1034" i="37"/>
  <c r="U1035" i="37"/>
  <c r="U1036" i="37"/>
  <c r="U1037" i="37"/>
  <c r="U1038" i="37"/>
  <c r="U1039" i="37"/>
  <c r="U1040" i="37"/>
  <c r="U1041" i="37"/>
  <c r="U1042" i="37"/>
  <c r="U1043" i="37"/>
  <c r="U1044" i="37"/>
  <c r="U1045" i="37"/>
  <c r="U1046" i="37"/>
  <c r="U1047" i="37"/>
  <c r="U1048" i="37"/>
  <c r="U1049" i="37"/>
  <c r="U1050" i="37"/>
  <c r="U1051" i="37"/>
  <c r="U1052" i="37"/>
  <c r="U1053" i="37"/>
  <c r="U1054" i="37"/>
  <c r="U1055" i="37"/>
  <c r="U1056" i="37"/>
  <c r="U1057" i="37"/>
  <c r="U1058" i="37"/>
  <c r="U1059" i="37"/>
  <c r="U1060" i="37"/>
  <c r="U1061" i="37"/>
  <c r="U1062" i="37"/>
  <c r="U1063" i="37"/>
  <c r="U1064" i="37"/>
  <c r="U1065" i="37"/>
  <c r="U1066" i="37"/>
  <c r="U1067" i="37"/>
  <c r="U1068" i="37"/>
  <c r="U1069" i="37"/>
  <c r="U1070" i="37"/>
  <c r="U1071" i="37"/>
  <c r="U1072" i="37"/>
  <c r="U1073" i="37"/>
  <c r="U1074" i="37"/>
  <c r="U1075" i="37"/>
  <c r="U1076" i="37"/>
  <c r="U1077" i="37"/>
  <c r="U1078" i="37"/>
  <c r="U1079" i="37"/>
  <c r="U1080" i="37"/>
  <c r="U1081" i="37"/>
  <c r="U1082" i="37"/>
  <c r="U1083" i="37"/>
  <c r="U1084" i="37"/>
  <c r="U1085" i="37"/>
  <c r="U1086" i="37"/>
  <c r="U1087" i="37"/>
  <c r="U1088" i="37"/>
  <c r="U1089" i="37"/>
  <c r="U1090" i="37"/>
  <c r="U1091" i="37"/>
  <c r="U1092" i="37"/>
  <c r="U1093" i="37"/>
  <c r="U1094" i="37"/>
  <c r="U1095" i="37"/>
  <c r="U1096" i="37"/>
  <c r="U1097" i="37"/>
  <c r="U1098" i="37"/>
  <c r="U1099" i="37"/>
  <c r="U1100" i="37"/>
  <c r="U1101" i="37"/>
  <c r="U1102" i="37"/>
  <c r="U1103" i="37"/>
  <c r="U1104" i="37"/>
  <c r="U1105" i="37"/>
  <c r="U1106" i="37"/>
  <c r="U1107" i="37"/>
  <c r="U1108" i="37"/>
  <c r="U1109" i="37"/>
  <c r="U1110" i="37"/>
  <c r="U1111" i="37"/>
  <c r="U1112" i="37"/>
  <c r="U1113" i="37"/>
  <c r="U1114" i="37"/>
  <c r="U1115" i="37"/>
  <c r="U1116" i="37"/>
  <c r="U1117" i="37"/>
  <c r="U1118" i="37"/>
  <c r="U1119" i="37"/>
  <c r="U1120" i="37"/>
  <c r="U1121" i="37"/>
  <c r="U1122" i="37"/>
  <c r="U1123" i="37"/>
  <c r="U1124" i="37"/>
  <c r="U1125" i="37"/>
  <c r="U1126" i="37"/>
  <c r="U1127" i="37"/>
  <c r="U1128" i="37"/>
  <c r="U1129" i="37"/>
  <c r="U1130" i="37"/>
  <c r="U1131" i="37"/>
  <c r="U1132" i="37"/>
  <c r="U1133" i="37"/>
  <c r="U1134" i="37"/>
  <c r="U1135" i="37"/>
  <c r="U1136" i="37"/>
  <c r="U1137" i="37"/>
  <c r="U1138" i="37"/>
  <c r="U1139" i="37"/>
  <c r="U1140" i="37"/>
  <c r="U1141" i="37"/>
  <c r="U1142" i="37"/>
  <c r="U1143" i="37"/>
  <c r="U1144" i="37"/>
  <c r="U1145" i="37"/>
  <c r="U1146" i="37"/>
  <c r="U1147" i="37"/>
  <c r="U1148" i="37"/>
  <c r="U1149" i="37"/>
  <c r="U1150" i="37"/>
  <c r="U1151" i="37"/>
  <c r="U1152" i="37"/>
  <c r="U1153" i="37"/>
  <c r="U1154" i="37"/>
  <c r="U1155" i="37"/>
  <c r="U1156" i="37"/>
  <c r="U1157" i="37"/>
  <c r="U1158" i="37"/>
  <c r="U1159" i="37"/>
  <c r="U1160" i="37"/>
  <c r="U1161" i="37"/>
  <c r="U1162" i="37"/>
  <c r="U1163" i="37"/>
  <c r="U1164" i="37"/>
  <c r="U1165" i="37"/>
  <c r="U1166" i="37"/>
  <c r="U1167" i="37"/>
  <c r="U1168" i="37"/>
  <c r="U1169" i="37"/>
  <c r="U1170" i="37"/>
  <c r="U1171" i="37"/>
  <c r="U1172" i="37"/>
  <c r="U1173" i="37"/>
  <c r="U1174" i="37"/>
  <c r="U1175" i="37"/>
  <c r="U1176" i="37"/>
  <c r="U1177" i="37"/>
  <c r="U1178" i="37"/>
  <c r="U1179" i="37"/>
  <c r="U1180" i="37"/>
  <c r="U1181" i="37"/>
  <c r="U1182" i="37"/>
  <c r="U1183" i="37"/>
  <c r="U1184" i="37"/>
  <c r="U1185" i="37"/>
  <c r="U1186" i="37"/>
  <c r="U1187" i="37"/>
  <c r="U1188" i="37"/>
  <c r="U1189" i="37"/>
  <c r="U1190" i="37"/>
  <c r="U1191" i="37"/>
  <c r="U1192" i="37"/>
  <c r="U1193" i="37"/>
  <c r="U1194" i="37"/>
  <c r="U1195" i="37"/>
  <c r="U1196" i="37"/>
  <c r="U1197" i="37"/>
  <c r="U1198" i="37"/>
  <c r="U1199" i="37"/>
  <c r="U1200" i="37"/>
  <c r="U1201" i="37"/>
  <c r="U1202" i="37"/>
  <c r="U1203" i="37"/>
  <c r="U1204" i="37"/>
  <c r="U1205" i="37"/>
  <c r="U1206" i="37"/>
  <c r="U1207" i="37"/>
  <c r="U1208" i="37"/>
  <c r="U1209" i="37"/>
  <c r="U1210" i="37"/>
  <c r="U1211" i="37"/>
  <c r="U1212" i="37"/>
  <c r="U1213" i="37"/>
  <c r="U1214" i="37"/>
  <c r="U1215" i="37"/>
  <c r="U1216" i="37"/>
  <c r="U1217" i="37"/>
  <c r="U1218" i="37"/>
  <c r="U1219" i="37"/>
  <c r="U1220" i="37"/>
  <c r="U1221" i="37"/>
  <c r="U1222" i="37"/>
  <c r="U1223" i="37"/>
  <c r="U1224" i="37"/>
  <c r="U1225" i="37"/>
  <c r="U1226" i="37"/>
  <c r="U1227" i="37"/>
  <c r="U1228" i="37"/>
  <c r="U1229" i="37"/>
  <c r="U1230" i="37"/>
  <c r="U1231" i="37"/>
  <c r="U1232" i="37"/>
  <c r="U1233" i="37"/>
  <c r="U1234" i="37"/>
  <c r="U1235" i="37"/>
  <c r="U1236" i="37"/>
  <c r="U1237" i="37"/>
  <c r="U1238" i="37"/>
  <c r="U1239" i="37"/>
  <c r="U1240" i="37"/>
  <c r="U1241" i="37"/>
  <c r="U1242" i="37"/>
  <c r="U1243" i="37"/>
  <c r="U1244" i="37"/>
  <c r="U1245" i="37"/>
  <c r="U1246" i="37"/>
  <c r="U1247" i="37"/>
  <c r="U1248" i="37"/>
  <c r="U1249" i="37"/>
  <c r="U1250" i="37"/>
  <c r="U1251" i="37"/>
  <c r="U1252" i="37"/>
  <c r="U1253" i="37"/>
  <c r="U1254" i="37"/>
  <c r="U1255" i="37"/>
  <c r="U1256" i="37"/>
  <c r="U1257" i="37"/>
  <c r="U1258" i="37"/>
  <c r="U1259" i="37"/>
  <c r="U1260" i="37"/>
  <c r="U1261" i="37"/>
  <c r="U1262" i="37"/>
  <c r="U1263" i="37"/>
  <c r="U1264" i="37"/>
  <c r="U1265" i="37"/>
  <c r="U1266" i="37"/>
  <c r="U1267" i="37"/>
  <c r="U1268" i="37"/>
  <c r="U1269" i="37"/>
  <c r="U1270" i="37"/>
  <c r="U1271" i="37"/>
  <c r="U1272" i="37"/>
  <c r="U1273" i="37"/>
  <c r="U1274" i="37"/>
  <c r="U1275" i="37"/>
  <c r="U1276" i="37"/>
  <c r="U1277" i="37"/>
  <c r="U1278" i="37"/>
  <c r="U1279" i="37"/>
  <c r="U1280" i="37"/>
  <c r="U1281" i="37"/>
  <c r="U1282" i="37"/>
  <c r="U1283" i="37"/>
  <c r="U1284" i="37"/>
  <c r="U1285" i="37"/>
  <c r="U1286" i="37"/>
  <c r="U1287" i="37"/>
  <c r="U1288" i="37"/>
  <c r="U1289" i="37"/>
  <c r="U1290" i="37"/>
  <c r="U1291" i="37"/>
  <c r="U1292" i="37"/>
  <c r="U1293" i="37"/>
  <c r="U1294" i="37"/>
  <c r="U1295" i="37"/>
  <c r="U1296" i="37"/>
  <c r="U1297" i="37"/>
  <c r="U1298" i="37"/>
  <c r="U1299" i="37"/>
  <c r="U1300" i="37"/>
  <c r="U1301" i="37"/>
  <c r="U1302" i="37"/>
  <c r="U1303" i="37"/>
  <c r="U1304" i="37"/>
  <c r="U1305" i="37"/>
  <c r="U1306" i="37"/>
  <c r="U1307" i="37"/>
  <c r="U1308" i="37"/>
  <c r="U1309" i="37"/>
  <c r="U1310" i="37"/>
  <c r="U1311" i="37"/>
  <c r="U1312" i="37"/>
  <c r="U1313" i="37"/>
  <c r="U1314" i="37"/>
  <c r="U1315" i="37"/>
  <c r="U1316" i="37"/>
  <c r="U1317" i="37"/>
  <c r="U1318" i="37"/>
  <c r="U1319" i="37"/>
  <c r="U1320" i="37"/>
  <c r="U1321" i="37"/>
  <c r="U1322" i="37"/>
  <c r="U1323" i="37"/>
  <c r="U1324" i="37"/>
  <c r="U1325" i="37"/>
  <c r="U1326" i="37"/>
  <c r="U1327" i="37"/>
  <c r="U1328" i="37"/>
  <c r="U1329" i="37"/>
  <c r="U1330" i="37"/>
  <c r="U1331" i="37"/>
  <c r="U1332" i="37"/>
  <c r="U1333" i="37"/>
  <c r="U1334" i="37"/>
  <c r="U1335" i="37"/>
  <c r="U1336" i="37"/>
  <c r="U1337" i="37"/>
  <c r="U1338" i="37"/>
  <c r="U1339" i="37"/>
  <c r="U1340" i="37"/>
  <c r="U1341" i="37"/>
  <c r="U1342" i="37"/>
  <c r="U1343" i="37"/>
  <c r="U1344" i="37"/>
  <c r="U1345" i="37"/>
  <c r="U1346" i="37"/>
  <c r="U1347" i="37"/>
  <c r="U1348" i="37"/>
  <c r="U1349" i="37"/>
  <c r="U1350" i="37"/>
  <c r="U1351" i="37"/>
  <c r="U1352" i="37"/>
  <c r="U1353" i="37"/>
  <c r="U1354" i="37"/>
  <c r="U1355" i="37"/>
  <c r="U1356" i="37"/>
  <c r="U1357" i="37"/>
  <c r="U1358" i="37"/>
  <c r="U1359" i="37"/>
  <c r="U1360" i="37"/>
  <c r="U1361" i="37"/>
  <c r="U1362" i="37"/>
  <c r="U1363" i="37"/>
  <c r="U1364" i="37"/>
  <c r="U1365" i="37"/>
  <c r="U1366" i="37"/>
  <c r="U1367" i="37"/>
  <c r="U1368" i="37"/>
  <c r="U1369" i="37"/>
  <c r="U1370" i="37"/>
  <c r="U1371" i="37"/>
  <c r="U1372" i="37"/>
  <c r="U1373" i="37"/>
  <c r="U1374" i="37"/>
  <c r="U1375" i="37"/>
  <c r="U1376" i="37"/>
  <c r="U1377" i="37"/>
  <c r="U1378" i="37"/>
  <c r="U1379" i="37"/>
  <c r="U1380" i="37"/>
  <c r="U1381" i="37"/>
  <c r="U1382" i="37"/>
  <c r="U1383" i="37"/>
  <c r="U1384" i="37"/>
  <c r="U1385" i="37"/>
  <c r="U1386" i="37"/>
  <c r="U1387" i="37"/>
  <c r="U1388" i="37"/>
  <c r="U1389" i="37"/>
  <c r="U1390" i="37"/>
  <c r="U1391" i="37"/>
  <c r="U1392" i="37"/>
  <c r="U1393" i="37"/>
  <c r="U1394" i="37"/>
  <c r="U1395" i="37"/>
  <c r="U1396" i="37"/>
  <c r="U1397" i="37"/>
  <c r="U1398" i="37"/>
  <c r="U1399" i="37"/>
  <c r="U1400" i="37"/>
  <c r="U1401" i="37"/>
  <c r="U1402" i="37"/>
  <c r="U1403" i="37"/>
  <c r="U1404" i="37"/>
  <c r="U1405" i="37"/>
  <c r="U1406" i="37"/>
  <c r="U1407" i="37"/>
  <c r="U1408" i="37"/>
  <c r="U1409" i="37"/>
  <c r="U1410" i="37"/>
  <c r="U1411" i="37"/>
  <c r="U1412" i="37"/>
  <c r="U1413" i="37"/>
  <c r="U1414" i="37"/>
  <c r="U1415" i="37"/>
  <c r="U1416" i="37"/>
  <c r="U1417" i="37"/>
  <c r="U1418" i="37"/>
  <c r="U1419" i="37"/>
  <c r="U1420" i="37"/>
  <c r="U1421" i="37"/>
  <c r="U1422" i="37"/>
  <c r="U1423" i="37"/>
  <c r="U1424" i="37"/>
  <c r="U1425" i="37"/>
  <c r="U1426" i="37"/>
  <c r="U1427" i="37"/>
  <c r="U1428" i="37"/>
  <c r="U1429" i="37"/>
  <c r="U1430" i="37"/>
  <c r="U1431" i="37"/>
  <c r="U1432" i="37"/>
  <c r="U1433" i="37"/>
  <c r="U1434" i="37"/>
  <c r="U1435" i="37"/>
  <c r="U1436" i="37"/>
  <c r="U1437" i="37"/>
  <c r="U1438" i="37"/>
  <c r="U1439" i="37"/>
  <c r="U1440" i="37"/>
  <c r="U1441" i="37"/>
  <c r="U1442" i="37"/>
  <c r="U1443" i="37"/>
  <c r="U1444" i="37"/>
  <c r="U1445" i="37"/>
  <c r="U1446" i="37"/>
  <c r="U1447" i="37"/>
  <c r="U1448" i="37"/>
  <c r="U1449" i="37"/>
  <c r="U1450" i="37"/>
  <c r="U1451" i="37"/>
  <c r="U1452" i="37"/>
  <c r="U1453" i="37"/>
  <c r="U1454" i="37"/>
  <c r="U1455" i="37"/>
  <c r="U1456" i="37"/>
  <c r="U1457" i="37"/>
  <c r="U1458" i="37"/>
  <c r="U1459" i="37"/>
  <c r="U1460" i="37"/>
  <c r="U1461" i="37"/>
  <c r="U1462" i="37"/>
  <c r="U1463" i="37"/>
  <c r="U1464" i="37"/>
  <c r="U1465" i="37"/>
  <c r="U1466" i="37"/>
  <c r="U1467" i="37"/>
  <c r="U1468" i="37"/>
  <c r="U1469" i="37"/>
  <c r="U1470" i="37"/>
  <c r="U1471" i="37"/>
  <c r="U1472" i="37"/>
  <c r="U1473" i="37"/>
  <c r="U1474" i="37"/>
  <c r="U1475" i="37"/>
  <c r="U1476" i="37"/>
  <c r="U1477" i="37"/>
  <c r="U1478" i="37"/>
  <c r="U1479" i="37"/>
  <c r="U1480" i="37"/>
  <c r="U1481" i="37"/>
  <c r="U1482" i="37"/>
  <c r="U1483" i="37"/>
  <c r="U1484" i="37"/>
  <c r="U1485" i="37"/>
  <c r="U1486" i="37"/>
  <c r="U1487" i="37"/>
  <c r="U1488" i="37"/>
  <c r="U1489" i="37"/>
  <c r="U1490" i="37"/>
  <c r="U1491" i="37"/>
  <c r="U1492" i="37"/>
  <c r="U1493" i="37"/>
  <c r="U1494" i="37"/>
  <c r="U1495" i="37"/>
  <c r="U1496" i="37"/>
  <c r="U1497" i="37"/>
  <c r="U1498" i="37"/>
  <c r="U1499" i="37"/>
  <c r="U1500" i="37"/>
  <c r="U1501" i="37"/>
  <c r="U1502" i="37"/>
  <c r="U1503" i="37"/>
  <c r="U1504" i="37"/>
  <c r="U1505" i="37"/>
  <c r="U1506" i="37"/>
  <c r="U1507" i="37"/>
  <c r="U1508" i="37"/>
  <c r="U1509" i="37"/>
  <c r="U1510" i="37"/>
  <c r="U1511" i="37"/>
  <c r="U1512" i="37"/>
  <c r="U1513" i="37"/>
  <c r="U1514" i="37"/>
  <c r="U1515" i="37"/>
  <c r="U1516" i="37"/>
  <c r="U1517" i="37"/>
  <c r="U1518" i="37"/>
  <c r="U1519" i="37"/>
  <c r="U1520" i="37"/>
  <c r="U1521" i="37"/>
  <c r="U1522" i="37"/>
  <c r="U1523" i="37"/>
  <c r="U1524" i="37"/>
  <c r="U1525" i="37"/>
  <c r="U1526" i="37"/>
  <c r="U1527" i="37"/>
  <c r="U1528" i="37"/>
  <c r="U1529" i="37"/>
  <c r="U1530" i="37"/>
  <c r="U1531" i="37"/>
  <c r="U1532" i="37"/>
  <c r="U1533" i="37"/>
  <c r="U1534" i="37"/>
  <c r="U1535" i="37"/>
  <c r="U1536" i="37"/>
  <c r="U1537" i="37"/>
  <c r="U1538" i="37"/>
  <c r="U1539" i="37"/>
  <c r="U1540" i="37"/>
  <c r="U1541" i="37"/>
  <c r="U1542" i="37"/>
  <c r="U1543" i="37"/>
  <c r="U1544" i="37"/>
  <c r="U1545" i="37"/>
  <c r="U1546" i="37"/>
  <c r="U1547" i="37"/>
  <c r="U1548" i="37"/>
  <c r="U1549" i="37"/>
  <c r="U1550" i="37"/>
  <c r="U1551" i="37"/>
  <c r="U1552" i="37"/>
  <c r="U1553" i="37"/>
  <c r="U1554" i="37"/>
  <c r="U1555" i="37"/>
  <c r="U1556" i="37"/>
  <c r="U1557" i="37"/>
  <c r="U1558" i="37"/>
  <c r="U1559" i="37"/>
  <c r="U1560" i="37"/>
  <c r="U1561" i="37"/>
  <c r="U1562" i="37"/>
  <c r="U1563" i="37"/>
  <c r="U1564" i="37"/>
  <c r="U1565" i="37"/>
  <c r="U1566" i="37"/>
  <c r="U1567" i="37"/>
  <c r="U1568" i="37"/>
  <c r="U1569" i="37"/>
  <c r="U1570" i="37"/>
  <c r="U1571" i="37"/>
  <c r="U1572" i="37"/>
  <c r="U1573" i="37"/>
  <c r="U1574" i="37"/>
  <c r="U1575" i="37"/>
  <c r="U1576" i="37"/>
  <c r="U1577" i="37"/>
  <c r="U1578" i="37"/>
  <c r="U1579" i="37"/>
  <c r="U1580" i="37"/>
  <c r="U1581" i="37"/>
  <c r="U1582" i="37"/>
  <c r="U1583" i="37"/>
  <c r="U1584" i="37"/>
  <c r="U1585" i="37"/>
  <c r="U1586" i="37"/>
  <c r="U1587" i="37"/>
  <c r="U1588" i="37"/>
  <c r="U1589" i="37"/>
  <c r="U1590" i="37"/>
  <c r="U1591" i="37"/>
  <c r="U1592" i="37"/>
  <c r="U1593" i="37"/>
  <c r="U1594" i="37"/>
  <c r="U1595" i="37"/>
  <c r="U1596" i="37"/>
  <c r="U1597" i="37"/>
  <c r="U1598" i="37"/>
  <c r="U1599" i="37"/>
  <c r="U1600" i="37"/>
  <c r="U1601" i="37"/>
  <c r="U1602" i="37"/>
  <c r="U1603" i="37"/>
  <c r="U1604" i="37"/>
  <c r="U1605" i="37"/>
  <c r="U1606" i="37"/>
  <c r="U1607" i="37"/>
  <c r="U1608" i="37"/>
  <c r="U1609" i="37"/>
  <c r="U1610" i="37"/>
  <c r="U1611" i="37"/>
  <c r="U1612" i="37"/>
  <c r="U1613" i="37"/>
  <c r="U1614" i="37"/>
  <c r="U1615" i="37"/>
  <c r="U1616" i="37"/>
  <c r="U1617" i="37"/>
  <c r="U1618" i="37"/>
  <c r="U1619" i="37"/>
  <c r="U1620" i="37"/>
  <c r="U1621" i="37"/>
  <c r="U1622" i="37"/>
  <c r="U1623" i="37"/>
  <c r="U1624" i="37"/>
  <c r="U1625" i="37"/>
  <c r="U1626" i="37"/>
  <c r="U1627" i="37"/>
  <c r="U1628" i="37"/>
  <c r="U1629" i="37"/>
  <c r="U1630" i="37"/>
  <c r="U1631" i="37"/>
  <c r="U1632" i="37"/>
  <c r="U1633" i="37"/>
  <c r="U1634" i="37"/>
  <c r="U1635" i="37"/>
  <c r="U1636" i="37"/>
  <c r="U1637" i="37"/>
  <c r="U1638" i="37"/>
  <c r="U1639" i="37"/>
  <c r="U1640" i="37"/>
  <c r="U1641" i="37"/>
  <c r="U1642" i="37"/>
  <c r="U1643" i="37"/>
  <c r="U1644" i="37"/>
  <c r="U1645" i="37"/>
  <c r="U1646" i="37"/>
  <c r="U1647" i="37"/>
  <c r="U1648" i="37"/>
  <c r="U1649" i="37"/>
  <c r="U1650" i="37"/>
  <c r="U1651" i="37"/>
  <c r="U1652" i="37"/>
  <c r="U1653" i="37"/>
  <c r="U1654" i="37"/>
  <c r="U1655" i="37"/>
  <c r="U1656" i="37"/>
  <c r="U1657" i="37"/>
  <c r="U1658" i="37"/>
  <c r="U1659" i="37"/>
  <c r="U1660" i="37"/>
  <c r="U1661" i="37"/>
  <c r="U1662" i="37"/>
  <c r="U1663" i="37"/>
  <c r="U1664" i="37"/>
  <c r="U1665" i="37"/>
  <c r="U1666" i="37"/>
  <c r="U1667" i="37"/>
  <c r="U1668" i="37"/>
  <c r="U1669" i="37"/>
  <c r="U1670" i="37"/>
  <c r="U1671" i="37"/>
  <c r="U1672" i="37"/>
  <c r="U1673" i="37"/>
  <c r="U1674" i="37"/>
  <c r="U1675" i="37"/>
  <c r="U1676" i="37"/>
  <c r="U1677" i="37"/>
  <c r="U1678" i="37"/>
  <c r="U1679" i="37"/>
  <c r="U1680" i="37"/>
  <c r="U1681" i="37"/>
  <c r="U1682" i="37"/>
  <c r="U1683" i="37"/>
  <c r="U1684" i="37"/>
  <c r="U1685" i="37"/>
  <c r="U1686" i="37"/>
  <c r="U1687" i="37"/>
  <c r="U1688" i="37"/>
  <c r="U1689" i="37"/>
  <c r="U1690" i="37"/>
  <c r="U1691" i="37"/>
  <c r="U1692" i="37"/>
  <c r="U1693" i="37"/>
  <c r="U1694" i="37"/>
  <c r="U1695" i="37"/>
  <c r="U1696" i="37"/>
  <c r="U1697" i="37"/>
  <c r="U1698" i="37"/>
  <c r="U1699" i="37"/>
  <c r="U1700" i="37"/>
  <c r="U1701" i="37"/>
  <c r="U1702" i="37"/>
  <c r="U1703" i="37"/>
  <c r="U1704" i="37"/>
  <c r="U1705" i="37"/>
  <c r="U1706" i="37"/>
  <c r="U1707" i="37"/>
  <c r="U1708" i="37"/>
  <c r="U1709" i="37"/>
  <c r="U1710" i="37"/>
  <c r="U1711" i="37"/>
  <c r="U1712" i="37"/>
  <c r="U1713" i="37"/>
  <c r="U1714" i="37"/>
  <c r="U1715" i="37"/>
  <c r="U1716" i="37"/>
  <c r="U1717" i="37"/>
  <c r="U1718" i="37"/>
  <c r="U1719" i="37"/>
  <c r="U1720" i="37"/>
  <c r="U1721" i="37"/>
  <c r="U1722" i="37"/>
  <c r="U1723" i="37"/>
  <c r="U1724" i="37"/>
  <c r="U1725" i="37"/>
  <c r="U1726" i="37"/>
  <c r="U1727" i="37"/>
  <c r="U1728" i="37"/>
  <c r="U1729" i="37"/>
  <c r="U1730" i="37"/>
  <c r="U1731" i="37"/>
  <c r="U1732" i="37"/>
  <c r="U1733" i="37"/>
  <c r="U1734" i="37"/>
  <c r="U1735" i="37"/>
  <c r="U1736" i="37"/>
  <c r="U1737" i="37"/>
  <c r="U1738" i="37"/>
  <c r="U1739" i="37"/>
  <c r="U1740" i="37"/>
  <c r="U1741" i="37"/>
  <c r="U1742" i="37"/>
  <c r="U1743" i="37"/>
  <c r="U1744" i="37"/>
  <c r="U1745" i="37"/>
  <c r="U1746" i="37"/>
  <c r="U1747" i="37"/>
  <c r="U1748" i="37"/>
  <c r="U1749" i="37"/>
  <c r="U1750" i="37"/>
  <c r="U1751" i="37"/>
  <c r="U1752" i="37"/>
  <c r="U1753" i="37"/>
  <c r="U1754" i="37"/>
  <c r="U1755" i="37"/>
  <c r="U1756" i="37"/>
  <c r="U1757" i="37"/>
  <c r="U1758" i="37"/>
  <c r="U1759" i="37"/>
  <c r="U1760" i="37"/>
  <c r="U1761" i="37"/>
  <c r="U1762" i="37"/>
  <c r="U1763" i="37"/>
  <c r="U1764" i="37"/>
  <c r="U1765" i="37"/>
  <c r="U1766" i="37"/>
  <c r="U1767" i="37"/>
  <c r="U1768" i="37"/>
  <c r="U1769" i="37"/>
  <c r="U1770" i="37"/>
  <c r="U1771" i="37"/>
  <c r="U1772" i="37"/>
  <c r="U1773" i="37"/>
  <c r="U1774" i="37"/>
  <c r="U1775" i="37"/>
  <c r="U1776" i="37"/>
  <c r="U1777" i="37"/>
  <c r="U1778" i="37"/>
  <c r="U1779" i="37"/>
  <c r="U1780" i="37"/>
  <c r="U1781" i="37"/>
  <c r="U1782" i="37"/>
  <c r="U1783" i="37"/>
  <c r="U1784" i="37"/>
  <c r="U1785" i="37"/>
  <c r="U1786" i="37"/>
  <c r="U1787" i="37"/>
  <c r="U1788" i="37"/>
  <c r="U1789" i="37"/>
  <c r="U1790" i="37"/>
  <c r="U1791" i="37"/>
  <c r="U1792" i="37"/>
  <c r="U1793" i="37"/>
  <c r="U1794" i="37"/>
  <c r="U1795" i="37"/>
  <c r="U1796" i="37"/>
  <c r="U1797" i="37"/>
  <c r="U1798" i="37"/>
  <c r="U1799" i="37"/>
  <c r="U1800" i="37"/>
  <c r="U1801" i="37"/>
  <c r="U1802" i="37"/>
  <c r="U1803" i="37"/>
  <c r="U1804" i="37"/>
  <c r="U1805" i="37"/>
  <c r="U1806" i="37"/>
  <c r="U1807" i="37"/>
  <c r="U1808" i="37"/>
  <c r="U1809" i="37"/>
  <c r="U1810" i="37"/>
  <c r="U1811" i="37"/>
  <c r="U1812" i="37"/>
  <c r="U1813" i="37"/>
  <c r="U1814" i="37"/>
  <c r="U1815" i="37"/>
  <c r="U1816" i="37"/>
  <c r="U1817" i="37"/>
  <c r="U1818" i="37"/>
  <c r="U1819" i="37"/>
  <c r="U1820" i="37"/>
  <c r="U1821" i="37"/>
  <c r="U1822" i="37"/>
  <c r="U1823" i="37"/>
  <c r="U1824" i="37"/>
  <c r="U1825" i="37"/>
  <c r="U1826" i="37"/>
  <c r="U1827" i="37"/>
  <c r="U1828" i="37"/>
  <c r="U1829" i="37"/>
  <c r="U1830" i="37"/>
  <c r="U1831" i="37"/>
  <c r="U1832" i="37"/>
  <c r="U1833" i="37"/>
  <c r="U1834" i="37"/>
  <c r="U1835" i="37"/>
  <c r="U1836" i="37"/>
  <c r="U1837" i="37"/>
  <c r="U1838" i="37"/>
  <c r="U1839" i="37"/>
  <c r="U1840" i="37"/>
  <c r="U1841" i="37"/>
  <c r="U1842" i="37"/>
  <c r="U1843" i="37"/>
  <c r="U1844" i="37"/>
  <c r="U1845" i="37"/>
  <c r="U1846" i="37"/>
  <c r="U1847" i="37"/>
  <c r="U1848" i="37"/>
  <c r="U1849" i="37"/>
  <c r="U1850" i="37"/>
  <c r="U1851" i="37"/>
  <c r="U1852" i="37"/>
  <c r="U1853" i="37"/>
  <c r="U1854" i="37"/>
  <c r="U1855" i="37"/>
  <c r="U1856" i="37"/>
  <c r="U1857" i="37"/>
  <c r="U1858" i="37"/>
  <c r="U1859" i="37"/>
  <c r="U1860" i="37"/>
  <c r="U1861" i="37"/>
  <c r="U1862" i="37"/>
  <c r="U1863" i="37"/>
  <c r="U1864" i="37"/>
  <c r="U1865" i="37"/>
  <c r="U1866" i="37"/>
  <c r="U1867" i="37"/>
  <c r="U1868" i="37"/>
  <c r="U1869" i="37"/>
  <c r="U1870" i="37"/>
  <c r="U1871" i="37"/>
  <c r="U1872" i="37"/>
  <c r="U1873" i="37"/>
  <c r="U1874" i="37"/>
  <c r="U1875" i="37"/>
  <c r="U1876" i="37"/>
  <c r="U1877" i="37"/>
  <c r="U1878" i="37"/>
  <c r="U1879" i="37"/>
  <c r="U1880" i="37"/>
  <c r="U1881" i="37"/>
  <c r="U1882" i="37"/>
  <c r="U1883" i="37"/>
  <c r="U1884" i="37"/>
  <c r="U1885" i="37"/>
  <c r="U1886" i="37"/>
  <c r="U1887" i="37"/>
  <c r="U1888" i="37"/>
  <c r="U1889" i="37"/>
  <c r="U1890" i="37"/>
  <c r="U1891" i="37"/>
  <c r="U1892" i="37"/>
  <c r="U1893" i="37"/>
  <c r="U1894" i="37"/>
  <c r="U1895" i="37"/>
  <c r="U1896" i="37"/>
  <c r="U1897" i="37"/>
  <c r="U1898" i="37"/>
  <c r="U1899" i="37"/>
  <c r="U1900" i="37"/>
  <c r="U1901" i="37"/>
  <c r="U1902" i="37"/>
  <c r="U1903" i="37"/>
  <c r="U1904" i="37"/>
  <c r="U1905" i="37"/>
  <c r="U1906" i="37"/>
  <c r="U1907" i="37"/>
  <c r="U1908" i="37"/>
  <c r="U1909" i="37"/>
  <c r="U1910" i="37"/>
  <c r="U1911" i="37"/>
  <c r="U1912" i="37"/>
  <c r="U1913" i="37"/>
  <c r="U1914" i="37"/>
  <c r="U1915" i="37"/>
  <c r="U1916" i="37"/>
  <c r="U1917" i="37"/>
  <c r="U1918" i="37"/>
  <c r="U1919" i="37"/>
  <c r="U1920" i="37"/>
  <c r="U1921" i="37"/>
  <c r="U1922" i="37"/>
  <c r="U1923" i="37"/>
  <c r="U1924" i="37"/>
  <c r="U1925" i="37"/>
  <c r="U1926" i="37"/>
  <c r="U1927" i="37"/>
  <c r="U1928" i="37"/>
  <c r="U1929" i="37"/>
  <c r="U1930" i="37"/>
  <c r="U1931" i="37"/>
  <c r="U1932" i="37"/>
  <c r="U1933" i="37"/>
  <c r="U1934" i="37"/>
  <c r="U1935" i="37"/>
  <c r="U1936" i="37"/>
  <c r="U1937" i="37"/>
  <c r="U1938" i="37"/>
  <c r="U1939" i="37"/>
  <c r="U1940" i="37"/>
  <c r="U1941" i="37"/>
  <c r="U1942" i="37"/>
  <c r="U1943" i="37"/>
  <c r="U1944" i="37"/>
  <c r="U1945" i="37"/>
  <c r="U1946" i="37"/>
  <c r="U1947" i="37"/>
  <c r="U1948" i="37"/>
  <c r="U1949" i="37"/>
  <c r="U1950" i="37"/>
  <c r="U1951" i="37"/>
  <c r="U1952" i="37"/>
  <c r="U1953" i="37"/>
  <c r="U1954" i="37"/>
  <c r="U1955" i="37"/>
  <c r="U1956" i="37"/>
  <c r="U1957" i="37"/>
  <c r="U1958" i="37"/>
  <c r="U1959" i="37"/>
  <c r="U1960" i="37"/>
  <c r="U1961" i="37"/>
  <c r="U1962" i="37"/>
  <c r="U1963" i="37"/>
  <c r="U1964" i="37"/>
  <c r="U1965" i="37"/>
  <c r="U1966" i="37"/>
  <c r="U1967" i="37"/>
  <c r="U1968" i="37"/>
  <c r="U1969" i="37"/>
  <c r="U1970" i="37"/>
  <c r="U1971" i="37"/>
  <c r="U1972" i="37"/>
  <c r="U1973" i="37"/>
  <c r="U1974" i="37"/>
  <c r="U1975" i="37"/>
  <c r="U1976" i="37"/>
  <c r="U1977" i="37"/>
  <c r="U1978" i="37"/>
  <c r="U1979" i="37"/>
  <c r="U1980" i="37"/>
  <c r="U1981" i="37"/>
  <c r="U1982" i="37"/>
  <c r="U1983" i="37"/>
  <c r="U1984" i="37"/>
  <c r="U1985" i="37"/>
  <c r="U1986" i="37"/>
  <c r="U1987" i="37"/>
  <c r="U1988" i="37"/>
  <c r="U1989" i="37"/>
  <c r="U1990" i="37"/>
  <c r="U1991" i="37"/>
  <c r="U1992" i="37"/>
  <c r="U1993" i="37"/>
  <c r="U1994" i="37"/>
  <c r="U1995" i="37"/>
  <c r="U1996" i="37"/>
  <c r="U1997" i="37"/>
  <c r="U1998" i="37"/>
  <c r="U1999" i="37"/>
  <c r="U2000" i="37"/>
  <c r="U2001" i="37"/>
  <c r="U2002" i="37"/>
  <c r="U2003" i="37"/>
  <c r="U2004" i="37"/>
  <c r="U2005" i="37"/>
  <c r="U2006" i="37"/>
  <c r="U2007" i="37"/>
  <c r="U2008" i="37"/>
  <c r="U2009" i="37"/>
  <c r="U2010" i="37"/>
  <c r="U2011" i="37"/>
  <c r="U2012" i="37"/>
  <c r="U2013" i="37"/>
  <c r="U2014" i="37"/>
  <c r="U2015" i="37"/>
  <c r="U2016" i="37"/>
  <c r="U2017" i="37"/>
  <c r="U2018" i="37"/>
  <c r="U2019" i="37"/>
  <c r="U2020" i="37"/>
  <c r="U2021" i="37"/>
  <c r="U2022" i="37"/>
  <c r="U2023" i="37"/>
  <c r="U2024" i="37"/>
  <c r="U2025" i="37"/>
  <c r="U2026" i="37"/>
  <c r="U2027" i="37"/>
  <c r="U2028" i="37"/>
  <c r="U2029" i="37"/>
  <c r="U2030" i="37"/>
  <c r="U2031" i="37"/>
  <c r="U2032" i="37"/>
  <c r="U2033" i="37"/>
  <c r="U2034" i="37"/>
  <c r="U2035" i="37"/>
  <c r="U2036" i="37"/>
  <c r="U2037" i="37"/>
  <c r="U2038" i="37"/>
  <c r="U2039" i="37"/>
  <c r="U2040" i="37"/>
  <c r="U2041" i="37"/>
  <c r="U2042" i="37"/>
  <c r="U2043" i="37"/>
  <c r="U2044" i="37"/>
  <c r="U2045" i="37"/>
  <c r="U2046" i="37"/>
  <c r="U2047" i="37"/>
  <c r="U2048" i="37"/>
  <c r="U2049" i="37"/>
  <c r="U2050" i="37"/>
  <c r="U2051" i="37"/>
  <c r="U2052" i="37"/>
  <c r="U2053" i="37"/>
  <c r="U2054" i="37"/>
  <c r="U2055" i="37"/>
  <c r="U2056" i="37"/>
  <c r="U2057" i="37"/>
  <c r="U2058" i="37"/>
  <c r="U2059" i="37"/>
  <c r="U2060" i="37"/>
  <c r="U2061" i="37"/>
  <c r="U2062" i="37"/>
  <c r="U2063" i="37"/>
  <c r="U2064" i="37"/>
  <c r="U2065" i="37"/>
  <c r="U2066" i="37"/>
  <c r="U2067" i="37"/>
  <c r="U2068" i="37"/>
  <c r="U2069" i="37"/>
  <c r="U2070" i="37"/>
  <c r="U2071" i="37"/>
  <c r="U2072" i="37"/>
  <c r="U2073" i="37"/>
  <c r="U2074" i="37"/>
  <c r="U2075" i="37"/>
  <c r="U2076" i="37"/>
  <c r="U2077" i="37"/>
  <c r="U2078" i="37"/>
  <c r="U2079" i="37"/>
  <c r="U2080" i="37"/>
  <c r="U2081" i="37"/>
  <c r="U2082" i="37"/>
  <c r="U2083" i="37"/>
  <c r="U2084" i="37"/>
  <c r="U2085" i="37"/>
  <c r="U2086" i="37"/>
  <c r="U2087" i="37"/>
  <c r="U2088" i="37"/>
  <c r="U2089" i="37"/>
  <c r="U2090" i="37"/>
  <c r="U2091" i="37"/>
  <c r="U2092" i="37"/>
  <c r="U2093" i="37"/>
  <c r="U2094" i="37"/>
  <c r="U2095" i="37"/>
  <c r="U2096" i="37"/>
  <c r="U2097" i="37"/>
  <c r="U2098" i="37"/>
  <c r="U2099" i="37"/>
  <c r="U2100" i="37"/>
  <c r="U2101" i="37"/>
  <c r="U2102" i="37"/>
  <c r="U2103" i="37"/>
  <c r="U2104" i="37"/>
  <c r="U2105" i="37"/>
  <c r="U2106" i="37"/>
  <c r="U2107" i="37"/>
  <c r="U2108" i="37"/>
  <c r="U2109" i="37"/>
  <c r="U2110" i="37"/>
  <c r="U2111" i="37"/>
  <c r="U2112" i="37"/>
  <c r="U2113" i="37"/>
  <c r="U2114" i="37"/>
  <c r="U2115" i="37"/>
  <c r="U2116" i="37"/>
  <c r="U2117" i="37"/>
  <c r="U2118" i="37"/>
  <c r="U2119" i="37"/>
  <c r="U2120" i="37"/>
  <c r="U2121" i="37"/>
  <c r="U2122" i="37"/>
  <c r="U2123" i="37"/>
  <c r="U2124" i="37"/>
  <c r="U2125" i="37"/>
  <c r="U2126" i="37"/>
  <c r="U2127" i="37"/>
  <c r="U2128" i="37"/>
  <c r="U2129" i="37"/>
  <c r="U2130" i="37"/>
  <c r="U2131" i="37"/>
  <c r="U2132" i="37"/>
  <c r="U2133" i="37"/>
  <c r="U2134" i="37"/>
  <c r="U2135" i="37"/>
  <c r="U2136" i="37"/>
  <c r="U2137" i="37"/>
  <c r="U2138" i="37"/>
  <c r="U2139" i="37"/>
  <c r="U2140" i="37"/>
  <c r="U2141" i="37"/>
  <c r="U2142" i="37"/>
  <c r="U2143" i="37"/>
  <c r="U2144" i="37"/>
  <c r="U2145" i="37"/>
  <c r="U2146" i="37"/>
  <c r="U2147" i="37"/>
  <c r="U2148" i="37"/>
  <c r="U2149" i="37"/>
  <c r="U2150" i="37"/>
  <c r="U2151" i="37"/>
  <c r="U2152" i="37"/>
  <c r="U2153" i="37"/>
  <c r="U2154" i="37"/>
  <c r="U2155" i="37"/>
  <c r="U2156" i="37"/>
  <c r="U2157" i="37"/>
  <c r="U2158" i="37"/>
  <c r="U2159" i="37"/>
  <c r="U2160" i="37"/>
  <c r="U2161" i="37"/>
  <c r="U2162" i="37"/>
  <c r="U2163" i="37"/>
  <c r="U2164" i="37"/>
  <c r="U2165" i="37"/>
  <c r="U2166" i="37"/>
  <c r="U2167" i="37"/>
  <c r="U2168" i="37"/>
  <c r="U2169" i="37"/>
  <c r="U2170" i="37"/>
  <c r="U2171" i="37"/>
  <c r="U2172" i="37"/>
  <c r="U2173" i="37"/>
  <c r="U2174" i="37"/>
  <c r="U2175" i="37"/>
  <c r="U2176" i="37"/>
  <c r="U2177" i="37"/>
  <c r="U2178" i="37"/>
  <c r="U2179" i="37"/>
  <c r="U2180" i="37"/>
  <c r="U2181" i="37"/>
  <c r="U2182" i="37"/>
  <c r="U2183" i="37"/>
  <c r="U2184" i="37"/>
  <c r="U2185" i="37"/>
  <c r="U2186" i="37"/>
  <c r="U2187" i="37"/>
  <c r="U2188" i="37"/>
  <c r="U2189" i="37"/>
  <c r="U2190" i="37"/>
  <c r="U2191" i="37"/>
  <c r="U2192" i="37"/>
  <c r="U2193" i="37"/>
  <c r="U2194" i="37"/>
  <c r="U2195" i="37"/>
  <c r="U2196" i="37"/>
  <c r="U2197" i="37"/>
  <c r="U2198" i="37"/>
  <c r="U2199" i="37"/>
  <c r="U2200" i="37"/>
  <c r="U2201" i="37"/>
  <c r="U2202" i="37"/>
  <c r="U2203" i="37"/>
  <c r="U2204" i="37"/>
  <c r="U2205" i="37"/>
  <c r="U2206" i="37"/>
  <c r="U2207" i="37"/>
  <c r="U2208" i="37"/>
  <c r="U2209" i="37"/>
  <c r="U2210" i="37"/>
  <c r="U2211" i="37"/>
  <c r="U2212" i="37"/>
  <c r="U2213" i="37"/>
  <c r="U2214" i="37"/>
  <c r="U2215" i="37"/>
  <c r="U2216" i="37"/>
  <c r="U2217" i="37"/>
  <c r="U2218" i="37"/>
  <c r="U2219" i="37"/>
  <c r="U2220" i="37"/>
  <c r="U2221" i="37"/>
  <c r="U2222" i="37"/>
  <c r="U2223" i="37"/>
  <c r="U2224" i="37"/>
  <c r="U2225" i="37"/>
  <c r="U2226" i="37"/>
  <c r="U2227" i="37"/>
  <c r="U2228" i="37"/>
  <c r="U2229" i="37"/>
  <c r="U2230" i="37"/>
  <c r="U2231" i="37"/>
  <c r="U2232" i="37"/>
  <c r="U2233" i="37"/>
  <c r="U2234" i="37"/>
  <c r="U2235" i="37"/>
  <c r="U2236" i="37"/>
  <c r="U2237" i="37"/>
  <c r="U2238" i="37"/>
  <c r="U2239" i="37"/>
  <c r="U2240" i="37"/>
  <c r="U2241" i="37"/>
  <c r="U2242" i="37"/>
  <c r="U2243" i="37"/>
  <c r="U2244" i="37"/>
  <c r="U2245" i="37"/>
  <c r="U2246" i="37"/>
  <c r="U2247" i="37"/>
  <c r="U2248" i="37"/>
  <c r="U2249" i="37"/>
  <c r="U2250" i="37"/>
  <c r="U2251" i="37"/>
  <c r="U2252" i="37"/>
  <c r="U2253" i="37"/>
  <c r="U2254" i="37"/>
  <c r="U2255" i="37"/>
  <c r="U2256" i="37"/>
  <c r="U2257" i="37"/>
  <c r="U2258" i="37"/>
  <c r="U2259" i="37"/>
  <c r="U2260" i="37"/>
  <c r="U2261" i="37"/>
  <c r="U2262" i="37"/>
  <c r="U2263" i="37"/>
  <c r="U2264" i="37"/>
  <c r="U2265" i="37"/>
  <c r="U2266" i="37"/>
  <c r="U2267" i="37"/>
  <c r="U2268" i="37"/>
  <c r="U2269" i="37"/>
  <c r="U2270" i="37"/>
  <c r="U2271" i="37"/>
  <c r="U2272" i="37"/>
  <c r="U2273" i="37"/>
  <c r="U2274" i="37"/>
  <c r="U2275" i="37"/>
  <c r="U2276" i="37"/>
  <c r="U2277" i="37"/>
  <c r="U2278" i="37"/>
  <c r="U2279" i="37"/>
  <c r="U2280" i="37"/>
  <c r="U2281" i="37"/>
  <c r="U2282" i="37"/>
  <c r="U2283" i="37"/>
  <c r="U2284" i="37"/>
  <c r="U2285" i="37"/>
  <c r="U2286" i="37"/>
  <c r="U2287" i="37"/>
  <c r="U2288" i="37"/>
  <c r="U2289" i="37"/>
  <c r="U2290" i="37"/>
  <c r="U2291" i="37"/>
  <c r="U2292" i="37"/>
  <c r="U2293" i="37"/>
  <c r="U2294" i="37"/>
  <c r="U2295" i="37"/>
  <c r="U2296" i="37"/>
  <c r="U2297" i="37"/>
  <c r="U2298" i="37"/>
  <c r="U2299" i="37"/>
  <c r="U2300" i="37"/>
  <c r="U2301" i="37"/>
  <c r="U2302" i="37"/>
  <c r="U2303" i="37"/>
  <c r="U2304" i="37"/>
  <c r="U2305" i="37"/>
  <c r="U2306" i="37"/>
  <c r="U2307" i="37"/>
  <c r="U2308" i="37"/>
  <c r="U2309" i="37"/>
  <c r="U2310" i="37"/>
  <c r="U2311" i="37"/>
  <c r="U2312" i="37"/>
  <c r="U2313" i="37"/>
  <c r="U2314" i="37"/>
  <c r="U2315" i="37"/>
  <c r="U2316" i="37"/>
  <c r="U2317" i="37"/>
  <c r="U2318" i="37"/>
  <c r="U2319" i="37"/>
  <c r="U2320" i="37"/>
  <c r="U2321" i="37"/>
  <c r="U2322" i="37"/>
  <c r="U2323" i="37"/>
  <c r="U2324" i="37"/>
  <c r="U2325" i="37"/>
  <c r="U2326" i="37"/>
  <c r="U2327" i="37"/>
  <c r="U2328" i="37"/>
  <c r="U2329" i="37"/>
  <c r="U2330" i="37"/>
  <c r="U2331" i="37"/>
  <c r="U2332" i="37"/>
  <c r="U2333" i="37"/>
  <c r="U2334" i="37"/>
  <c r="U2335" i="37"/>
  <c r="U2336" i="37"/>
  <c r="U2337" i="37"/>
  <c r="U2338" i="37"/>
  <c r="U2339" i="37"/>
  <c r="U2340" i="37"/>
  <c r="U2341" i="37"/>
  <c r="U2342" i="37"/>
  <c r="U2343" i="37"/>
  <c r="U2344" i="37"/>
  <c r="U2345" i="37"/>
  <c r="U2346" i="37"/>
  <c r="U2347" i="37"/>
  <c r="U2348" i="37"/>
  <c r="U2349" i="37"/>
  <c r="U2350" i="37"/>
  <c r="U2351" i="37"/>
  <c r="U2352" i="37"/>
  <c r="U2353" i="37"/>
  <c r="U2354" i="37"/>
  <c r="U2355" i="37"/>
  <c r="U2356" i="37"/>
  <c r="U2357" i="37"/>
  <c r="U2358" i="37"/>
  <c r="U2359" i="37"/>
  <c r="U2360" i="37"/>
  <c r="U2361" i="37"/>
  <c r="U2362" i="37"/>
  <c r="U2363" i="37"/>
  <c r="U2364" i="37"/>
  <c r="U2365" i="37"/>
  <c r="U2366" i="37"/>
  <c r="U2367" i="37"/>
  <c r="U2368" i="37"/>
  <c r="U2369" i="37"/>
  <c r="U2370" i="37"/>
  <c r="U2371" i="37"/>
  <c r="U2372" i="37"/>
  <c r="U2373" i="37"/>
  <c r="U2374" i="37"/>
  <c r="U2375" i="37"/>
  <c r="U2376" i="37"/>
  <c r="U2377" i="37"/>
  <c r="U2378" i="37"/>
  <c r="U2379" i="37"/>
  <c r="U2380" i="37"/>
  <c r="U2381" i="37"/>
  <c r="U2382" i="37"/>
  <c r="U2383" i="37"/>
  <c r="U2384" i="37"/>
  <c r="U2385" i="37"/>
  <c r="U2386" i="37"/>
  <c r="U2387" i="37"/>
  <c r="U2388" i="37"/>
  <c r="U2389" i="37"/>
  <c r="U2390" i="37"/>
  <c r="U2391" i="37"/>
  <c r="U2392" i="37"/>
  <c r="U2393" i="37"/>
  <c r="U2394" i="37"/>
  <c r="U2395" i="37"/>
  <c r="U2396" i="37"/>
  <c r="U2397" i="37"/>
  <c r="U2398" i="37"/>
  <c r="U2399" i="37"/>
  <c r="U2400" i="37"/>
  <c r="U2401" i="37"/>
  <c r="U2402" i="37"/>
  <c r="U2403" i="37"/>
  <c r="U2404" i="37"/>
  <c r="U2405" i="37"/>
  <c r="U2406" i="37"/>
  <c r="U2407" i="37"/>
  <c r="U2408" i="37"/>
  <c r="U2409" i="37"/>
  <c r="U2410" i="37"/>
  <c r="U2411" i="37"/>
  <c r="U2412" i="37"/>
  <c r="U2413" i="37"/>
  <c r="U2414" i="37"/>
  <c r="U2415" i="37"/>
  <c r="U2416" i="37"/>
  <c r="U2417" i="37"/>
  <c r="U2418" i="37"/>
  <c r="U2419" i="37"/>
  <c r="U2420" i="37"/>
  <c r="U2421" i="37"/>
  <c r="U2422" i="37"/>
  <c r="U2423" i="37"/>
  <c r="U2424" i="37"/>
  <c r="U2425" i="37"/>
  <c r="U2426" i="37"/>
  <c r="U2427" i="37"/>
  <c r="U2428" i="37"/>
  <c r="U2429" i="37"/>
  <c r="U2430" i="37"/>
  <c r="U2431" i="37"/>
  <c r="U2432" i="37"/>
  <c r="U2433" i="37"/>
  <c r="U2434" i="37"/>
  <c r="U2435" i="37"/>
  <c r="U2436" i="37"/>
  <c r="U2437" i="37"/>
  <c r="U2438" i="37"/>
  <c r="U2439" i="37"/>
  <c r="U2440" i="37"/>
  <c r="U2441" i="37"/>
  <c r="U2442" i="37"/>
  <c r="U2443" i="37"/>
  <c r="U2444" i="37"/>
  <c r="U2445" i="37"/>
  <c r="U2446" i="37"/>
  <c r="U2447" i="37"/>
  <c r="U2448" i="37"/>
  <c r="U2449" i="37"/>
  <c r="U2450" i="37"/>
  <c r="U2451" i="37"/>
  <c r="U2452" i="37"/>
  <c r="U2453" i="37"/>
  <c r="U2454" i="37"/>
  <c r="U2455" i="37"/>
  <c r="U2456" i="37"/>
  <c r="U2457" i="37"/>
  <c r="U2458" i="37"/>
  <c r="U2459" i="37"/>
  <c r="U2460" i="37"/>
  <c r="U2461" i="37"/>
  <c r="U2462" i="37"/>
  <c r="U2463" i="37"/>
  <c r="U2464" i="37"/>
  <c r="U2465" i="37"/>
  <c r="U2466" i="37"/>
  <c r="U2467" i="37"/>
  <c r="U2468" i="37"/>
  <c r="U2469" i="37"/>
  <c r="U2470" i="37"/>
  <c r="U2471" i="37"/>
  <c r="U2472" i="37"/>
  <c r="U2473" i="37"/>
  <c r="U2474" i="37"/>
  <c r="U2475" i="37"/>
  <c r="U2476" i="37"/>
  <c r="U2477" i="37"/>
  <c r="U2478" i="37"/>
  <c r="U2479" i="37"/>
  <c r="U2480" i="37"/>
  <c r="U2481" i="37"/>
  <c r="U2482" i="37"/>
  <c r="U2483" i="37"/>
  <c r="U2484" i="37"/>
  <c r="U2485" i="37"/>
  <c r="U2486" i="37"/>
  <c r="U2487" i="37"/>
  <c r="U2488" i="37"/>
  <c r="U2489" i="37"/>
  <c r="U2490" i="37"/>
  <c r="U2491" i="37"/>
  <c r="U2492" i="37"/>
  <c r="U2493" i="37"/>
  <c r="U2494" i="37"/>
  <c r="U2495" i="37"/>
  <c r="U2496" i="37"/>
  <c r="U2497" i="37"/>
  <c r="U2498" i="37"/>
  <c r="U2499" i="37"/>
  <c r="U2500" i="37"/>
  <c r="U2501" i="37"/>
  <c r="U2502" i="37"/>
  <c r="U2503" i="37"/>
  <c r="U2504" i="37"/>
  <c r="U2505" i="37"/>
  <c r="U2506" i="37"/>
  <c r="U2507" i="37"/>
  <c r="U2508" i="37"/>
  <c r="U2509" i="37"/>
  <c r="U2510" i="37"/>
  <c r="U2511" i="37"/>
  <c r="U2512" i="37"/>
  <c r="U2513" i="37"/>
  <c r="U2514" i="37"/>
  <c r="U2515" i="37"/>
  <c r="U2516" i="37"/>
  <c r="U2517" i="37"/>
  <c r="U2518" i="37"/>
  <c r="U2519" i="37"/>
  <c r="U2520" i="37"/>
  <c r="U2521" i="37"/>
  <c r="U2522" i="37"/>
  <c r="U2523" i="37"/>
  <c r="U2524" i="37"/>
  <c r="U2525" i="37"/>
  <c r="U2526" i="37"/>
  <c r="U2527" i="37"/>
  <c r="U2528" i="37"/>
  <c r="U2529" i="37"/>
  <c r="U2530" i="37"/>
  <c r="U2531" i="37"/>
  <c r="U2532" i="37"/>
  <c r="U2533" i="37"/>
  <c r="U2534" i="37"/>
  <c r="U2535" i="37"/>
  <c r="U2536" i="37"/>
  <c r="U2537" i="37"/>
  <c r="U2538" i="37"/>
  <c r="U2539" i="37"/>
  <c r="U2540" i="37"/>
  <c r="U2541" i="37"/>
  <c r="U2542" i="37"/>
  <c r="U2543" i="37"/>
  <c r="U2544" i="37"/>
  <c r="U2545" i="37"/>
  <c r="U2546" i="37"/>
  <c r="U2547" i="37"/>
  <c r="U2548" i="37"/>
  <c r="U2549" i="37"/>
  <c r="U2550" i="37"/>
  <c r="U2551" i="37"/>
  <c r="U2552" i="37"/>
  <c r="U2553" i="37"/>
  <c r="U2554" i="37"/>
  <c r="U2555" i="37"/>
  <c r="U2556" i="37"/>
  <c r="U2557" i="37"/>
  <c r="U2558" i="37"/>
  <c r="U2559" i="37"/>
  <c r="U2560" i="37"/>
  <c r="U2561" i="37"/>
  <c r="U2562" i="37"/>
  <c r="U2563" i="37"/>
  <c r="U2564" i="37"/>
  <c r="U2565" i="37"/>
  <c r="U2566" i="37"/>
  <c r="U2567" i="37"/>
  <c r="U2568" i="37"/>
  <c r="U2569" i="37"/>
  <c r="U2570" i="37"/>
  <c r="U2571" i="37"/>
  <c r="U2572" i="37"/>
  <c r="U2573" i="37"/>
  <c r="U2574" i="37"/>
  <c r="U2575" i="37"/>
  <c r="U2576" i="37"/>
  <c r="U2577" i="37"/>
  <c r="U2578" i="37"/>
  <c r="U2579" i="37"/>
  <c r="U2580" i="37"/>
  <c r="U2581" i="37"/>
  <c r="U2582" i="37"/>
  <c r="U2583" i="37"/>
  <c r="U2584" i="37"/>
  <c r="U2585" i="37"/>
  <c r="U2586" i="37"/>
  <c r="U2587" i="37"/>
  <c r="U2588" i="37"/>
  <c r="U2589" i="37"/>
  <c r="U2590" i="37"/>
  <c r="U2591" i="37"/>
  <c r="U2592" i="37"/>
  <c r="U2593" i="37"/>
  <c r="U2594" i="37"/>
  <c r="U2595" i="37"/>
  <c r="U2596" i="37"/>
  <c r="U2597" i="37"/>
  <c r="U2598" i="37"/>
  <c r="U2599" i="37"/>
  <c r="U2600" i="37"/>
  <c r="U2601" i="37"/>
  <c r="U2602" i="37"/>
  <c r="U2603" i="37"/>
  <c r="U2604" i="37"/>
  <c r="U2605" i="37"/>
  <c r="U2606" i="37"/>
  <c r="U2607" i="37"/>
  <c r="U2608" i="37"/>
  <c r="U2609" i="37"/>
  <c r="U2610" i="37"/>
  <c r="U2611" i="37"/>
  <c r="U2612" i="37"/>
  <c r="U2613" i="37"/>
  <c r="U2614" i="37"/>
  <c r="U2615" i="37"/>
  <c r="U2616" i="37"/>
  <c r="U2617" i="37"/>
  <c r="U2618" i="37"/>
  <c r="U2619" i="37"/>
  <c r="U2620" i="37"/>
  <c r="U2621" i="37"/>
  <c r="U2622" i="37"/>
  <c r="U2623" i="37"/>
  <c r="U2624" i="37"/>
  <c r="U2625" i="37"/>
  <c r="U2626" i="37"/>
  <c r="U2627" i="37"/>
  <c r="U2628" i="37"/>
  <c r="U2629" i="37"/>
  <c r="U2630" i="37"/>
  <c r="U2631" i="37"/>
  <c r="U2632" i="37"/>
  <c r="U2633" i="37"/>
  <c r="U2634" i="37"/>
  <c r="U2635" i="37"/>
  <c r="U2636" i="37"/>
  <c r="U2637" i="37"/>
  <c r="U2638" i="37"/>
  <c r="U2639" i="37"/>
  <c r="U2640" i="37"/>
  <c r="U2641" i="37"/>
  <c r="U2642" i="37"/>
  <c r="U2643" i="37"/>
  <c r="U2644" i="37"/>
  <c r="U2645" i="37"/>
  <c r="U2646" i="37"/>
  <c r="U2647" i="37"/>
  <c r="U2648" i="37"/>
  <c r="U2649" i="37"/>
  <c r="U2650" i="37"/>
  <c r="U2651" i="37"/>
  <c r="U2652" i="37"/>
  <c r="U2653" i="37"/>
  <c r="U2654" i="37"/>
  <c r="U2655" i="37"/>
  <c r="U2656" i="37"/>
  <c r="U2657" i="37"/>
  <c r="U2658" i="37"/>
  <c r="U2659" i="37"/>
  <c r="U2660" i="37"/>
  <c r="U2661" i="37"/>
  <c r="U2662" i="37"/>
  <c r="U2663" i="37"/>
  <c r="U2664" i="37"/>
  <c r="U2665" i="37"/>
  <c r="U2666" i="37"/>
  <c r="U2667" i="37"/>
  <c r="U2668" i="37"/>
  <c r="U2669" i="37"/>
  <c r="U2670" i="37"/>
  <c r="U2671" i="37"/>
  <c r="U2672" i="37"/>
  <c r="U2673" i="37"/>
  <c r="U2674" i="37"/>
  <c r="U2675" i="37"/>
  <c r="U2676" i="37"/>
  <c r="U2677" i="37"/>
  <c r="U2678" i="37"/>
  <c r="U2679" i="37"/>
  <c r="U2680" i="37"/>
  <c r="U2681" i="37"/>
  <c r="U2682" i="37"/>
  <c r="U2683" i="37"/>
  <c r="U2684" i="37"/>
  <c r="U2685" i="37"/>
  <c r="U2686" i="37"/>
  <c r="U2687" i="37"/>
  <c r="U2688" i="37"/>
  <c r="U2689" i="37"/>
  <c r="U2690" i="37"/>
  <c r="U2691" i="37"/>
  <c r="U2692" i="37"/>
  <c r="U2693" i="37"/>
  <c r="U2694" i="37"/>
  <c r="U2695" i="37"/>
  <c r="U2696" i="37"/>
  <c r="U2697" i="37"/>
  <c r="U2698" i="37"/>
  <c r="U2699" i="37"/>
  <c r="U2700" i="37"/>
  <c r="U2701" i="37"/>
  <c r="U2702" i="37"/>
  <c r="U2703" i="37"/>
  <c r="U2704" i="37"/>
  <c r="U2705" i="37"/>
  <c r="U2706" i="37"/>
  <c r="U2707" i="37"/>
  <c r="U2708" i="37"/>
  <c r="U2709" i="37"/>
  <c r="U2710" i="37"/>
  <c r="U2711" i="37"/>
  <c r="U2712" i="37"/>
  <c r="U2713" i="37"/>
  <c r="U2714" i="37"/>
  <c r="U2715" i="37"/>
  <c r="U2716" i="37"/>
  <c r="U2717" i="37"/>
  <c r="U2718" i="37"/>
  <c r="U2719" i="37"/>
  <c r="U2720" i="37"/>
  <c r="U2721" i="37"/>
  <c r="U2722" i="37"/>
  <c r="U2723" i="37"/>
  <c r="U2724" i="37"/>
  <c r="U2725" i="37"/>
  <c r="U2726" i="37"/>
  <c r="U2727" i="37"/>
  <c r="U2728" i="37"/>
  <c r="U2729" i="37"/>
  <c r="U2730" i="37"/>
  <c r="U2731" i="37"/>
  <c r="U2732" i="37"/>
  <c r="U2733" i="37"/>
  <c r="U2734" i="37"/>
  <c r="U2735" i="37"/>
  <c r="U2736" i="37"/>
  <c r="U2737" i="37"/>
  <c r="U2738" i="37"/>
  <c r="U2739" i="37"/>
  <c r="U2740" i="37"/>
  <c r="U2741" i="37"/>
  <c r="U2742" i="37"/>
  <c r="U2743" i="37"/>
  <c r="U2744" i="37"/>
  <c r="U2745" i="37"/>
  <c r="U2746" i="37"/>
  <c r="U2747" i="37"/>
  <c r="U2748" i="37"/>
  <c r="U2749" i="37"/>
  <c r="U2750" i="37"/>
  <c r="U2751" i="37"/>
  <c r="U2752" i="37"/>
  <c r="U2753" i="37"/>
  <c r="U2754" i="37"/>
  <c r="U2755" i="37"/>
  <c r="U2756" i="37"/>
  <c r="U2757" i="37"/>
  <c r="U2758" i="37"/>
  <c r="U2759" i="37"/>
  <c r="U2760" i="37"/>
  <c r="U2761" i="37"/>
  <c r="U2762" i="37"/>
  <c r="U2763" i="37"/>
  <c r="U2764" i="37"/>
  <c r="U2765" i="37"/>
  <c r="U2766" i="37"/>
  <c r="U2767" i="37"/>
  <c r="U2768" i="37"/>
  <c r="U2769" i="37"/>
  <c r="U2770" i="37"/>
  <c r="U2771" i="37"/>
  <c r="U2772" i="37"/>
  <c r="U2773" i="37"/>
  <c r="U2774" i="37"/>
  <c r="U2775" i="37"/>
  <c r="U2776" i="37"/>
  <c r="U2777" i="37"/>
  <c r="U2778" i="37"/>
  <c r="U2779" i="37"/>
  <c r="U2780" i="37"/>
  <c r="U2781" i="37"/>
  <c r="U2782" i="37"/>
  <c r="U2783" i="37"/>
  <c r="U2784" i="37"/>
  <c r="U2785" i="37"/>
  <c r="U2786" i="37"/>
  <c r="U2787" i="37"/>
  <c r="U2788" i="37"/>
  <c r="U2789" i="37"/>
  <c r="U2790" i="37"/>
  <c r="U2791" i="37"/>
  <c r="U2792" i="37"/>
  <c r="U2793" i="37"/>
  <c r="U2794" i="37"/>
  <c r="U2795" i="37"/>
  <c r="U2796" i="37"/>
  <c r="U2797" i="37"/>
  <c r="U2798" i="37"/>
  <c r="U2799" i="37"/>
  <c r="U2800" i="37"/>
  <c r="U2801" i="37"/>
  <c r="U2802" i="37"/>
  <c r="U2803" i="37"/>
  <c r="U2804" i="37"/>
  <c r="U2805" i="37"/>
  <c r="U2806" i="37"/>
  <c r="U2807" i="37"/>
  <c r="U2808" i="37"/>
  <c r="U2809" i="37"/>
  <c r="U2810" i="37"/>
  <c r="U2811" i="37"/>
  <c r="U2812" i="37"/>
  <c r="U2813" i="37"/>
  <c r="U2814" i="37"/>
  <c r="U2815" i="37"/>
  <c r="U2816" i="37"/>
  <c r="U2817" i="37"/>
  <c r="U2818" i="37"/>
  <c r="U2819" i="37"/>
  <c r="U2820" i="37"/>
  <c r="U2821" i="37"/>
  <c r="U2822" i="37"/>
  <c r="U2823" i="37"/>
  <c r="U2824" i="37"/>
  <c r="U2825" i="37"/>
  <c r="U2826" i="37"/>
  <c r="U2827" i="37"/>
  <c r="U2828" i="37"/>
  <c r="U2829" i="37"/>
  <c r="U2830" i="37"/>
  <c r="U2831" i="37"/>
  <c r="U2832" i="37"/>
  <c r="U2833" i="37"/>
  <c r="U2834" i="37"/>
  <c r="U2835" i="37"/>
  <c r="U2836" i="37"/>
  <c r="U2837" i="37"/>
  <c r="U2838" i="37"/>
  <c r="U2839" i="37"/>
  <c r="U2840" i="37"/>
  <c r="U2841" i="37"/>
  <c r="U2842" i="37"/>
  <c r="U2843" i="37"/>
  <c r="U2844" i="37"/>
  <c r="U2845" i="37"/>
  <c r="U2846" i="37"/>
  <c r="U2847" i="37"/>
  <c r="U2848" i="37"/>
  <c r="U2849" i="37"/>
  <c r="U2850" i="37"/>
  <c r="U2851" i="37"/>
  <c r="U2852" i="37"/>
  <c r="U2853" i="37"/>
  <c r="U2854" i="37"/>
  <c r="U2855" i="37"/>
  <c r="U2856" i="37"/>
  <c r="U2857" i="37"/>
  <c r="U2858" i="37"/>
  <c r="U2859" i="37"/>
  <c r="U2860" i="37"/>
  <c r="U2861" i="37"/>
  <c r="U2862" i="37"/>
  <c r="U2863" i="37"/>
  <c r="U2864" i="37"/>
  <c r="U2865" i="37"/>
  <c r="U2866" i="37"/>
  <c r="U2867" i="37"/>
  <c r="U2868" i="37"/>
  <c r="U2869" i="37"/>
  <c r="U2870" i="37"/>
  <c r="U2871" i="37"/>
  <c r="U2872" i="37"/>
  <c r="U2873" i="37"/>
  <c r="U2874" i="37"/>
  <c r="U2875" i="37"/>
  <c r="U2876" i="37"/>
  <c r="U2877" i="37"/>
  <c r="U2878" i="37"/>
  <c r="U2879" i="37"/>
  <c r="U2880" i="37"/>
  <c r="U2881" i="37"/>
  <c r="U2882" i="37"/>
  <c r="U2883" i="37"/>
  <c r="U2884" i="37"/>
  <c r="U2885" i="37"/>
  <c r="U2886" i="37"/>
  <c r="U2887" i="37"/>
  <c r="U2888" i="37"/>
  <c r="U2889" i="37"/>
  <c r="U2890" i="37"/>
  <c r="U2891" i="37"/>
  <c r="U2892" i="37"/>
  <c r="U2893" i="37"/>
  <c r="U2894" i="37"/>
  <c r="U2895" i="37"/>
  <c r="U2896" i="37"/>
  <c r="U2897" i="37"/>
  <c r="U2898" i="37"/>
  <c r="U2899" i="37"/>
  <c r="U2900" i="37"/>
  <c r="U2901" i="37"/>
  <c r="U2902" i="37"/>
  <c r="U2903" i="37"/>
  <c r="U2904" i="37"/>
  <c r="U2905" i="37"/>
  <c r="U2906" i="37"/>
  <c r="U2907" i="37"/>
  <c r="U2908" i="37"/>
  <c r="U2909" i="37"/>
  <c r="U2910" i="37"/>
  <c r="U2911" i="37"/>
  <c r="U2912" i="37"/>
  <c r="U2913" i="37"/>
  <c r="U2914" i="37"/>
  <c r="U2915" i="37"/>
  <c r="U2916" i="37"/>
  <c r="U2917" i="37"/>
  <c r="U2918" i="37"/>
  <c r="U2919" i="37"/>
  <c r="U2920" i="37"/>
  <c r="U2921" i="37"/>
  <c r="U2922" i="37"/>
  <c r="U2923" i="37"/>
  <c r="U2924" i="37"/>
  <c r="U2925" i="37"/>
  <c r="U2926" i="37"/>
  <c r="U2927" i="37"/>
  <c r="U2928" i="37"/>
  <c r="U2929" i="37"/>
  <c r="U2930" i="37"/>
  <c r="U2931" i="37"/>
  <c r="U2932" i="37"/>
  <c r="U2933" i="37"/>
  <c r="U2934" i="37"/>
  <c r="U2935" i="37"/>
  <c r="U2936" i="37"/>
  <c r="U2937" i="37"/>
  <c r="U2938" i="37"/>
  <c r="U2939" i="37"/>
  <c r="U2940" i="37"/>
  <c r="U2941" i="37"/>
  <c r="U2942" i="37"/>
  <c r="U2943" i="37"/>
  <c r="U2944" i="37"/>
  <c r="U2945" i="37"/>
  <c r="U2946" i="37"/>
  <c r="U2947" i="37"/>
  <c r="U2948" i="37"/>
  <c r="U2949" i="37"/>
  <c r="U2950" i="37"/>
  <c r="U2951" i="37"/>
  <c r="U2952" i="37"/>
  <c r="U2953" i="37"/>
  <c r="U2954" i="37"/>
  <c r="U2955" i="37"/>
  <c r="U2956" i="37"/>
  <c r="U2957" i="37"/>
  <c r="U2958" i="37"/>
  <c r="U2959" i="37"/>
  <c r="U2960" i="37"/>
  <c r="U2961" i="37"/>
  <c r="U2962" i="37"/>
  <c r="U2963" i="37"/>
  <c r="U2964" i="37"/>
  <c r="U2965" i="37"/>
  <c r="U2966" i="37"/>
  <c r="U2967" i="37"/>
  <c r="U2968" i="37"/>
  <c r="U2969" i="37"/>
  <c r="U2970" i="37"/>
  <c r="U2971" i="37"/>
  <c r="U2972" i="37"/>
  <c r="U2973" i="37"/>
  <c r="U2974" i="37"/>
  <c r="U2975" i="37"/>
  <c r="U2976" i="37"/>
  <c r="U2977" i="37"/>
  <c r="U2978" i="37"/>
  <c r="U2979" i="37"/>
  <c r="U2980" i="37"/>
  <c r="U2981" i="37"/>
  <c r="U2982" i="37"/>
  <c r="U2983" i="37"/>
  <c r="U2984" i="37"/>
  <c r="U2985" i="37"/>
  <c r="U2986" i="37"/>
  <c r="U2987" i="37"/>
  <c r="U2988" i="37"/>
  <c r="U2989" i="37"/>
  <c r="U2990" i="37"/>
  <c r="U2991" i="37"/>
  <c r="U2992" i="37"/>
  <c r="U2993" i="37"/>
  <c r="U2994" i="37"/>
  <c r="U2995" i="37"/>
  <c r="U2996" i="37"/>
  <c r="U2997" i="37"/>
  <c r="U2998" i="37"/>
  <c r="U2999" i="37"/>
  <c r="U3000" i="37"/>
  <c r="U3001" i="37"/>
  <c r="U3002" i="37"/>
  <c r="U3003" i="37"/>
  <c r="U3004" i="37"/>
  <c r="U3005" i="37"/>
  <c r="U3006" i="37"/>
  <c r="U3007" i="37"/>
  <c r="U3008" i="37"/>
  <c r="U3009" i="37"/>
  <c r="U3010" i="37"/>
  <c r="U3011" i="37"/>
  <c r="U3012" i="37"/>
  <c r="U3013" i="37"/>
  <c r="U3014" i="37"/>
  <c r="U3015" i="37"/>
  <c r="U3016" i="37"/>
  <c r="U3017" i="37"/>
  <c r="U3018" i="37"/>
  <c r="U3019" i="37"/>
  <c r="U3020" i="37"/>
  <c r="U3021" i="37"/>
  <c r="U3022" i="37"/>
  <c r="U3023" i="37"/>
  <c r="U3024" i="37"/>
  <c r="U3025" i="37"/>
  <c r="U3026" i="37"/>
  <c r="U3027" i="37"/>
  <c r="U3028" i="37"/>
  <c r="U3029" i="37"/>
  <c r="U3030" i="37"/>
  <c r="U3031" i="37"/>
  <c r="U3032" i="37"/>
  <c r="U3033" i="37"/>
  <c r="U3034" i="37"/>
  <c r="U3035" i="37"/>
  <c r="U3036" i="37"/>
  <c r="U3037" i="37"/>
  <c r="U3038" i="37"/>
  <c r="U3039" i="37"/>
  <c r="U3040" i="37"/>
  <c r="U3041" i="37"/>
  <c r="U3042" i="37"/>
  <c r="U3043" i="37"/>
  <c r="U3044" i="37"/>
  <c r="U3045" i="37"/>
  <c r="U3046" i="37"/>
  <c r="U3047" i="37"/>
  <c r="U3048" i="37"/>
  <c r="U3049" i="37"/>
  <c r="U3050" i="37"/>
  <c r="U3051" i="37"/>
  <c r="U3052" i="37"/>
  <c r="U3053" i="37"/>
  <c r="U3054" i="37"/>
  <c r="U3055" i="37"/>
  <c r="U3056" i="37"/>
  <c r="U3057" i="37"/>
  <c r="U3058" i="37"/>
  <c r="U3059" i="37"/>
  <c r="U3060" i="37"/>
  <c r="U3061" i="37"/>
  <c r="U3062" i="37"/>
  <c r="U3063" i="37"/>
  <c r="U3064" i="37"/>
  <c r="U3065" i="37"/>
  <c r="U3066" i="37"/>
  <c r="U3067" i="37"/>
  <c r="U3068" i="37"/>
  <c r="U3069" i="37"/>
  <c r="U3070" i="37"/>
  <c r="U3071" i="37"/>
  <c r="U3072" i="37"/>
  <c r="U3073" i="37"/>
  <c r="U3074" i="37"/>
  <c r="U3075" i="37"/>
  <c r="U3076" i="37"/>
  <c r="U3077" i="37"/>
  <c r="U3078" i="37"/>
  <c r="U3079" i="37"/>
  <c r="U3080" i="37"/>
  <c r="U3081" i="37"/>
  <c r="U3082" i="37"/>
  <c r="U3083" i="37"/>
  <c r="U3084" i="37"/>
  <c r="U3085" i="37"/>
  <c r="U3086" i="37"/>
  <c r="U3087" i="37"/>
  <c r="U3088" i="37"/>
  <c r="U3089" i="37"/>
  <c r="U3090" i="37"/>
  <c r="U3091" i="37"/>
  <c r="U3092" i="37"/>
  <c r="U3093" i="37"/>
  <c r="U3094" i="37"/>
  <c r="U3095" i="37"/>
  <c r="U3096" i="37"/>
  <c r="U3097" i="37"/>
  <c r="U3098" i="37"/>
  <c r="U3099" i="37"/>
  <c r="U3100" i="37"/>
  <c r="U3101" i="37"/>
  <c r="U3102" i="37"/>
  <c r="U3103" i="37"/>
  <c r="U3104" i="37"/>
  <c r="U3105" i="37"/>
  <c r="U3106" i="37"/>
  <c r="U3107" i="37"/>
  <c r="U3108" i="37"/>
  <c r="U3109" i="37"/>
  <c r="U3110" i="37"/>
  <c r="U3111" i="37"/>
  <c r="U3112" i="37"/>
  <c r="U3113" i="37"/>
  <c r="U3114" i="37"/>
  <c r="U3115" i="37"/>
  <c r="U3116" i="37"/>
  <c r="U3117" i="37"/>
  <c r="U3118" i="37"/>
  <c r="U3119" i="37"/>
  <c r="U3120" i="37"/>
  <c r="U3121" i="37"/>
  <c r="U3122" i="37"/>
  <c r="U3123" i="37"/>
  <c r="U3124" i="37"/>
  <c r="U3125" i="37"/>
  <c r="U3126" i="37"/>
  <c r="U3127" i="37"/>
  <c r="U3128" i="37"/>
  <c r="U3129" i="37"/>
  <c r="U3130" i="37"/>
  <c r="U3131" i="37"/>
  <c r="U3132" i="37"/>
  <c r="U3133" i="37"/>
  <c r="U3134" i="37"/>
  <c r="U3135" i="37"/>
  <c r="U3136" i="37"/>
  <c r="U3137" i="37"/>
  <c r="U3138" i="37"/>
  <c r="U3139" i="37"/>
  <c r="U3140" i="37"/>
  <c r="U3141" i="37"/>
  <c r="U3142" i="37"/>
  <c r="U3143" i="37"/>
  <c r="U3144" i="37"/>
  <c r="U3145" i="37"/>
  <c r="U3146" i="37"/>
  <c r="U3147" i="37"/>
  <c r="U3148" i="37"/>
  <c r="U3149" i="37"/>
  <c r="U3150" i="37"/>
  <c r="U3151" i="37"/>
  <c r="U3152" i="37"/>
  <c r="U3153" i="37"/>
  <c r="U3154" i="37"/>
  <c r="U3155" i="37"/>
  <c r="U3156" i="37"/>
  <c r="U3157" i="37"/>
  <c r="U3158" i="37"/>
  <c r="U3159" i="37"/>
  <c r="U3160" i="37"/>
  <c r="U3161" i="37"/>
  <c r="U3162" i="37"/>
  <c r="U3163" i="37"/>
  <c r="U3164" i="37"/>
  <c r="U3165" i="37"/>
  <c r="U3166" i="37"/>
  <c r="U3167" i="37"/>
  <c r="U3168" i="37"/>
  <c r="U3169" i="37"/>
  <c r="U3170" i="37"/>
  <c r="U3171" i="37"/>
  <c r="U3172" i="37"/>
  <c r="U3173" i="37"/>
  <c r="U3174" i="37"/>
  <c r="U3175" i="37"/>
  <c r="U3176" i="37"/>
  <c r="U3177" i="37"/>
  <c r="U3178" i="37"/>
  <c r="U3179" i="37"/>
  <c r="U3180" i="37"/>
  <c r="U3181" i="37"/>
  <c r="U3182" i="37"/>
  <c r="U3183" i="37"/>
  <c r="U3184" i="37"/>
  <c r="U3185" i="37"/>
  <c r="U3186" i="37"/>
  <c r="U3187" i="37"/>
  <c r="U3188" i="37"/>
  <c r="U3189" i="37"/>
  <c r="U3190" i="37"/>
  <c r="U3191" i="37"/>
  <c r="U3192" i="37"/>
  <c r="U3193" i="37"/>
  <c r="U3194" i="37"/>
  <c r="U3195" i="37"/>
  <c r="U3196" i="37"/>
  <c r="U3197" i="37"/>
  <c r="U3198" i="37"/>
  <c r="U3199" i="37"/>
  <c r="U3200" i="37"/>
  <c r="U3201" i="37"/>
  <c r="U3202" i="37"/>
  <c r="U3203" i="37"/>
  <c r="U3204" i="37"/>
  <c r="U3205" i="37"/>
  <c r="U3206" i="37"/>
  <c r="U3207" i="37"/>
  <c r="U3208" i="37"/>
  <c r="U3209" i="37"/>
  <c r="U3210" i="37"/>
  <c r="U3211" i="37"/>
  <c r="U3212" i="37"/>
  <c r="U3213" i="37"/>
  <c r="U3214" i="37"/>
  <c r="U3215" i="37"/>
  <c r="U3216" i="37"/>
  <c r="U3217" i="37"/>
  <c r="U3218" i="37"/>
  <c r="U3219" i="37"/>
  <c r="U3220" i="37"/>
  <c r="U3221" i="37"/>
  <c r="U3222" i="37"/>
  <c r="U3223" i="37"/>
  <c r="U3224" i="37"/>
  <c r="U3225" i="37"/>
  <c r="U3226" i="37"/>
  <c r="U3227" i="37"/>
  <c r="U3228" i="37"/>
  <c r="U3229" i="37"/>
  <c r="U3230" i="37"/>
  <c r="U3231" i="37"/>
  <c r="U3232" i="37"/>
  <c r="U3233" i="37"/>
  <c r="U3234" i="37"/>
  <c r="U3235" i="37"/>
  <c r="U3236" i="37"/>
  <c r="U3237" i="37"/>
  <c r="U3238" i="37"/>
  <c r="U3239" i="37"/>
  <c r="U3240" i="37"/>
  <c r="U3241" i="37"/>
  <c r="U3242" i="37"/>
  <c r="U3243" i="37"/>
  <c r="U3244" i="37"/>
  <c r="U3245" i="37"/>
  <c r="U3246" i="37"/>
  <c r="U3247" i="37"/>
  <c r="U3248" i="37"/>
  <c r="U3249" i="37"/>
  <c r="U3250" i="37"/>
  <c r="U3251" i="37"/>
  <c r="U3252" i="37"/>
  <c r="U3253" i="37"/>
  <c r="U3254" i="37"/>
  <c r="U3255" i="37"/>
  <c r="U3256" i="37"/>
  <c r="U3257" i="37"/>
  <c r="U3258" i="37"/>
  <c r="U3259" i="37"/>
  <c r="U3260" i="37"/>
  <c r="U3261" i="37"/>
  <c r="U3262" i="37"/>
  <c r="U3263" i="37"/>
  <c r="U3264" i="37"/>
  <c r="U3265" i="37"/>
  <c r="U3266" i="37"/>
  <c r="U3267" i="37"/>
  <c r="U3268" i="37"/>
  <c r="U3269" i="37"/>
  <c r="U3270" i="37"/>
  <c r="U3271" i="37"/>
  <c r="U3272" i="37"/>
  <c r="U3273" i="37"/>
  <c r="U3274" i="37"/>
  <c r="U3275" i="37"/>
  <c r="U3276" i="37"/>
  <c r="U3277" i="37"/>
  <c r="U3278" i="37"/>
  <c r="U3279" i="37"/>
  <c r="U3280" i="37"/>
  <c r="U3281" i="37"/>
  <c r="U3282" i="37"/>
  <c r="U3283" i="37"/>
  <c r="U3284" i="37"/>
  <c r="U3285" i="37"/>
  <c r="U3286" i="37"/>
  <c r="U3287" i="37"/>
  <c r="U3288" i="37"/>
  <c r="U3289" i="37"/>
  <c r="U3290" i="37"/>
  <c r="U3291" i="37"/>
  <c r="U3292" i="37"/>
  <c r="U3293" i="37"/>
  <c r="U3294" i="37"/>
  <c r="U3295" i="37"/>
  <c r="U3296" i="37"/>
  <c r="U3297" i="37"/>
  <c r="U3298" i="37"/>
  <c r="U3299" i="37"/>
  <c r="U3300" i="37"/>
  <c r="U3301" i="37"/>
  <c r="U3302" i="37"/>
  <c r="U3303" i="37"/>
  <c r="U3304" i="37"/>
  <c r="U3305" i="37"/>
  <c r="U3306" i="37"/>
  <c r="U3307" i="37"/>
  <c r="U3308" i="37"/>
  <c r="U3309" i="37"/>
  <c r="U3310" i="37"/>
  <c r="U3311" i="37"/>
  <c r="U3312" i="37"/>
  <c r="U3313" i="37"/>
  <c r="U3314" i="37"/>
  <c r="U3315" i="37"/>
  <c r="U3316" i="37"/>
  <c r="U3317" i="37"/>
  <c r="U3318" i="37"/>
  <c r="U3319" i="37"/>
  <c r="U3320" i="37"/>
  <c r="U3321" i="37"/>
  <c r="U3322" i="37"/>
  <c r="U3323" i="37"/>
  <c r="U3324" i="37"/>
  <c r="U3325" i="37"/>
  <c r="U3326" i="37"/>
  <c r="U3327" i="37"/>
  <c r="U3328" i="37"/>
  <c r="U3329" i="37"/>
  <c r="U3330" i="37"/>
  <c r="U3331" i="37"/>
  <c r="U3332" i="37"/>
  <c r="U3333" i="37"/>
  <c r="U3334" i="37"/>
  <c r="U3335" i="37"/>
  <c r="U3336" i="37"/>
  <c r="U3337" i="37"/>
  <c r="U3338" i="37"/>
  <c r="U3339" i="37"/>
  <c r="U3340" i="37"/>
  <c r="U3341" i="37"/>
  <c r="U3342" i="37"/>
  <c r="U3343" i="37"/>
  <c r="U3344" i="37"/>
  <c r="U3345" i="37"/>
  <c r="U3346" i="37"/>
  <c r="U3347" i="37"/>
  <c r="U3348" i="37"/>
  <c r="U3349" i="37"/>
  <c r="U3350" i="37"/>
  <c r="U3351" i="37"/>
  <c r="U3352" i="37"/>
  <c r="U3353" i="37"/>
  <c r="U3354" i="37"/>
  <c r="U3355" i="37"/>
  <c r="U3356" i="37"/>
  <c r="U3357" i="37"/>
  <c r="U3358" i="37"/>
  <c r="U3359" i="37"/>
  <c r="U3360" i="37"/>
  <c r="U3361" i="37"/>
  <c r="U3362" i="37"/>
  <c r="U3363" i="37"/>
  <c r="U3364" i="37"/>
  <c r="U3365" i="37"/>
  <c r="U3366" i="37"/>
  <c r="U3367" i="37"/>
  <c r="U3368" i="37"/>
  <c r="U3369" i="37"/>
  <c r="U3370" i="37"/>
  <c r="U3371" i="37"/>
  <c r="U3372" i="37"/>
  <c r="U3373" i="37"/>
  <c r="U3374" i="37"/>
  <c r="U3375" i="37"/>
  <c r="U3376" i="37"/>
  <c r="U3377" i="37"/>
  <c r="U3378" i="37"/>
  <c r="U3379" i="37"/>
  <c r="U3380" i="37"/>
  <c r="U3381" i="37"/>
  <c r="U3382" i="37"/>
  <c r="U3383" i="37"/>
  <c r="U3384" i="37"/>
  <c r="U3385" i="37"/>
  <c r="U3386" i="37"/>
  <c r="U3387" i="37"/>
  <c r="U3388" i="37"/>
  <c r="U3389" i="37"/>
  <c r="U3390" i="37"/>
  <c r="U3391" i="37"/>
  <c r="U3392" i="37"/>
  <c r="U3393" i="37"/>
  <c r="U3394" i="37"/>
  <c r="U3395" i="37"/>
  <c r="U3396" i="37"/>
  <c r="U3397" i="37"/>
  <c r="U3398" i="37"/>
  <c r="U3399" i="37"/>
  <c r="U3400" i="37"/>
  <c r="U3401" i="37"/>
  <c r="U3402" i="37"/>
  <c r="U3403" i="37"/>
  <c r="U3404" i="37"/>
  <c r="U3405" i="37"/>
  <c r="U3406" i="37"/>
  <c r="U3407" i="37"/>
  <c r="U3408" i="37"/>
  <c r="U3409" i="37"/>
  <c r="U3410" i="37"/>
  <c r="U3411" i="37"/>
  <c r="U3412" i="37"/>
  <c r="U3413" i="37"/>
  <c r="U3414" i="37"/>
  <c r="U3415" i="37"/>
  <c r="U3416" i="37"/>
  <c r="U3417" i="37"/>
  <c r="U3418" i="37"/>
  <c r="U3419" i="37"/>
  <c r="U3420" i="37"/>
  <c r="U3421" i="37"/>
  <c r="U3422" i="37"/>
  <c r="U3423" i="37"/>
  <c r="U3424" i="37"/>
  <c r="U3425" i="37"/>
  <c r="U3426" i="37"/>
  <c r="U3427" i="37"/>
  <c r="U3428" i="37"/>
  <c r="U3429" i="37"/>
  <c r="U3430" i="37"/>
  <c r="U3431" i="37"/>
  <c r="U3432" i="37"/>
  <c r="U3433" i="37"/>
  <c r="U3434" i="37"/>
  <c r="U3435" i="37"/>
  <c r="U3436" i="37"/>
  <c r="U3437" i="37"/>
  <c r="U3438" i="37"/>
  <c r="U3439" i="37"/>
  <c r="U3440" i="37"/>
  <c r="U3441" i="37"/>
  <c r="U3442" i="37"/>
  <c r="U3443" i="37"/>
  <c r="U3444" i="37"/>
  <c r="U3445" i="37"/>
  <c r="U3446" i="37"/>
  <c r="U3447" i="37"/>
  <c r="U3448" i="37"/>
  <c r="U3449" i="37"/>
  <c r="U3450" i="37"/>
  <c r="U3451" i="37"/>
  <c r="U3452" i="37"/>
  <c r="U3453" i="37"/>
  <c r="U3454" i="37"/>
  <c r="U3455" i="37"/>
  <c r="U3456" i="37"/>
  <c r="U3457" i="37"/>
  <c r="U3458" i="37"/>
  <c r="U3459" i="37"/>
  <c r="U3460" i="37"/>
  <c r="U3461" i="37"/>
  <c r="U3462" i="37"/>
  <c r="U3463" i="37"/>
  <c r="U3464" i="37"/>
  <c r="U3465" i="37"/>
  <c r="U3466" i="37"/>
  <c r="U3467" i="37"/>
  <c r="U3468" i="37"/>
  <c r="U3469" i="37"/>
  <c r="U3470" i="37"/>
  <c r="U3471" i="37"/>
  <c r="U3472" i="37"/>
  <c r="U3473" i="37"/>
  <c r="U3474" i="37"/>
  <c r="U3475" i="37"/>
  <c r="U3476" i="37"/>
  <c r="U3477" i="37"/>
  <c r="U3478" i="37"/>
  <c r="U3479" i="37"/>
  <c r="U3480" i="37"/>
  <c r="U3481" i="37"/>
  <c r="U3482" i="37"/>
  <c r="U3483" i="37"/>
  <c r="U3484" i="37"/>
  <c r="U3485" i="37"/>
  <c r="U3486" i="37"/>
  <c r="U3487" i="37"/>
  <c r="U3488" i="37"/>
  <c r="U3489" i="37"/>
  <c r="U3490" i="37"/>
  <c r="U3491" i="37"/>
  <c r="U3492" i="37"/>
  <c r="U3493" i="37"/>
  <c r="U3494" i="37"/>
  <c r="U3495" i="37"/>
  <c r="U3496" i="37"/>
  <c r="U3497" i="37"/>
  <c r="U3498" i="37"/>
  <c r="U3499" i="37"/>
  <c r="U3500" i="37"/>
  <c r="U3501" i="37"/>
  <c r="U3502" i="37"/>
  <c r="U3503" i="37"/>
  <c r="U3504" i="37"/>
  <c r="U3505" i="37"/>
  <c r="U3506" i="37"/>
  <c r="U3507" i="37"/>
  <c r="U3508" i="37"/>
  <c r="U3509" i="37"/>
  <c r="U3510" i="37"/>
  <c r="U3511" i="37"/>
  <c r="U3512" i="37"/>
  <c r="U3513" i="37"/>
  <c r="U3514" i="37"/>
  <c r="U3515" i="37"/>
  <c r="U3516" i="37"/>
  <c r="U3517" i="37"/>
  <c r="U3518" i="37"/>
  <c r="U3519" i="37"/>
  <c r="U3520" i="37"/>
  <c r="U3521" i="37"/>
  <c r="U3522" i="37"/>
  <c r="U3523" i="37"/>
  <c r="U3524" i="37"/>
  <c r="U3525" i="37"/>
  <c r="U3526" i="37"/>
  <c r="U3527" i="37"/>
  <c r="U3528" i="37"/>
  <c r="U3529" i="37"/>
  <c r="U3530" i="37"/>
  <c r="U3531" i="37"/>
  <c r="U3532" i="37"/>
  <c r="U3533" i="37"/>
  <c r="U3534" i="37"/>
  <c r="U3535" i="37"/>
  <c r="U3536" i="37"/>
  <c r="U3537" i="37"/>
  <c r="U3538" i="37"/>
  <c r="U3539" i="37"/>
  <c r="U3540" i="37"/>
  <c r="U3541" i="37"/>
  <c r="U3542" i="37"/>
  <c r="U3543" i="37"/>
  <c r="U3544" i="37"/>
  <c r="U3545" i="37"/>
  <c r="U3546" i="37"/>
  <c r="U3547" i="37"/>
  <c r="U3548" i="37"/>
  <c r="U3549" i="37"/>
  <c r="U3550" i="37"/>
  <c r="U3551" i="37"/>
  <c r="U3552" i="37"/>
  <c r="U3553" i="37"/>
  <c r="U3554" i="37"/>
  <c r="U3555" i="37"/>
  <c r="U3556" i="37"/>
  <c r="U3557" i="37"/>
  <c r="U3558" i="37"/>
  <c r="U3559" i="37"/>
  <c r="U3560" i="37"/>
  <c r="U3561" i="37"/>
  <c r="U3562" i="37"/>
  <c r="U3563" i="37"/>
  <c r="U3564" i="37"/>
  <c r="U3565" i="37"/>
  <c r="U3566" i="37"/>
  <c r="U3567" i="37"/>
  <c r="U3568" i="37"/>
  <c r="U3569" i="37"/>
  <c r="U3570" i="37"/>
  <c r="U3571" i="37"/>
  <c r="U3572" i="37"/>
  <c r="U3573" i="37"/>
  <c r="U3574" i="37"/>
  <c r="U3575" i="37"/>
  <c r="U3576" i="37"/>
  <c r="U3577" i="37"/>
  <c r="U3578" i="37"/>
  <c r="U3579" i="37"/>
  <c r="U3580" i="37"/>
  <c r="U3581" i="37"/>
  <c r="U3582" i="37"/>
  <c r="U3583" i="37"/>
  <c r="U3584" i="37"/>
  <c r="U3585" i="37"/>
  <c r="U3586" i="37"/>
  <c r="U3587" i="37"/>
  <c r="U3588" i="37"/>
  <c r="U3589" i="37"/>
  <c r="U3590" i="37"/>
  <c r="U3591" i="37"/>
  <c r="U3592" i="37"/>
  <c r="U3593" i="37"/>
  <c r="U3594" i="37"/>
  <c r="U3595" i="37"/>
  <c r="U3596" i="37"/>
  <c r="U3597" i="37"/>
  <c r="U3598" i="37"/>
  <c r="U3599" i="37"/>
  <c r="U3600" i="37"/>
  <c r="U3601" i="37"/>
  <c r="U3602" i="37"/>
  <c r="U3603" i="37"/>
  <c r="U3604" i="37"/>
  <c r="U3605" i="37"/>
  <c r="U3606" i="37"/>
  <c r="U3607" i="37"/>
  <c r="U3608" i="37"/>
  <c r="U3609" i="37"/>
  <c r="U3610" i="37"/>
  <c r="U3611" i="37"/>
  <c r="U3612" i="37"/>
  <c r="U3613" i="37"/>
  <c r="U3614" i="37"/>
  <c r="U3615" i="37"/>
  <c r="U3616" i="37"/>
  <c r="U3617" i="37"/>
  <c r="U3618" i="37"/>
  <c r="U3619" i="37"/>
  <c r="U3620" i="37"/>
  <c r="U3621" i="37"/>
  <c r="U3622" i="37"/>
  <c r="U3623" i="37"/>
  <c r="U3624" i="37"/>
  <c r="U3625" i="37"/>
  <c r="U3626" i="37"/>
  <c r="U3627" i="37"/>
  <c r="U3628" i="37"/>
  <c r="U3629" i="37"/>
  <c r="U3630" i="37"/>
  <c r="U3631" i="37"/>
  <c r="U3632" i="37"/>
  <c r="U3633" i="37"/>
  <c r="U3634" i="37"/>
  <c r="U3635" i="37"/>
  <c r="U3636" i="37"/>
  <c r="U3637" i="37"/>
  <c r="U3638" i="37"/>
  <c r="U3639" i="37"/>
  <c r="U3640" i="37"/>
  <c r="U3641" i="37"/>
  <c r="U3642" i="37"/>
  <c r="U3643" i="37"/>
  <c r="U3644" i="37"/>
  <c r="U3645" i="37"/>
  <c r="U3646" i="37"/>
  <c r="U3647" i="37"/>
  <c r="U3648" i="37"/>
  <c r="U3649" i="37"/>
  <c r="U3650" i="37"/>
  <c r="U3651" i="37"/>
  <c r="U3652" i="37"/>
  <c r="U3653" i="37"/>
  <c r="U3654" i="37"/>
  <c r="U3655" i="37"/>
  <c r="U3656" i="37"/>
  <c r="U3657" i="37"/>
  <c r="U3658" i="37"/>
  <c r="U3659" i="37"/>
  <c r="U3660" i="37"/>
  <c r="U3661" i="37"/>
  <c r="U3662" i="37"/>
  <c r="U3663" i="37"/>
  <c r="U3664" i="37"/>
  <c r="U3665" i="37"/>
  <c r="U3666" i="37"/>
  <c r="U3667" i="37"/>
  <c r="U3668" i="37"/>
  <c r="U3669" i="37"/>
  <c r="U3670" i="37"/>
  <c r="U3671" i="37"/>
  <c r="U3672" i="37"/>
  <c r="U3673" i="37"/>
  <c r="U3674" i="37"/>
  <c r="U3675" i="37"/>
  <c r="U3676" i="37"/>
  <c r="U3677" i="37"/>
  <c r="U3678" i="37"/>
  <c r="U3679" i="37"/>
  <c r="U3680" i="37"/>
  <c r="U3681" i="37"/>
  <c r="U3682" i="37"/>
  <c r="U3683" i="37"/>
  <c r="U3684" i="37"/>
  <c r="U3685" i="37"/>
  <c r="U3686" i="37"/>
  <c r="U3687" i="37"/>
  <c r="U3688" i="37"/>
  <c r="U3689" i="37"/>
  <c r="U3690" i="37"/>
  <c r="U3691" i="37"/>
  <c r="U3692" i="37"/>
  <c r="U3693" i="37"/>
  <c r="U3694" i="37"/>
  <c r="U3695" i="37"/>
  <c r="U3696" i="37"/>
  <c r="U3697" i="37"/>
  <c r="U3698" i="37"/>
  <c r="U3699" i="37"/>
  <c r="U3700" i="37"/>
  <c r="U3701" i="37"/>
  <c r="U3702" i="37"/>
  <c r="U3703" i="37"/>
  <c r="U3704" i="37"/>
  <c r="U3705" i="37"/>
  <c r="U3706" i="37"/>
  <c r="U3707" i="37"/>
  <c r="U3708" i="37"/>
  <c r="U3709" i="37"/>
  <c r="U3710" i="37"/>
  <c r="U3711" i="37"/>
  <c r="U3712" i="37"/>
  <c r="U3713" i="37"/>
  <c r="U3714" i="37"/>
  <c r="U3715" i="37"/>
  <c r="U3716" i="37"/>
  <c r="U3717" i="37"/>
  <c r="U4" i="37"/>
  <c r="U5" i="37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36" i="37"/>
  <c r="U37" i="37"/>
  <c r="U38" i="37"/>
  <c r="U39" i="37"/>
  <c r="U40" i="37"/>
  <c r="U41" i="37"/>
  <c r="U42" i="37"/>
  <c r="U43" i="37"/>
  <c r="U44" i="37"/>
  <c r="U45" i="37"/>
  <c r="U46" i="37"/>
  <c r="U47" i="37"/>
  <c r="U48" i="37"/>
  <c r="U49" i="37"/>
  <c r="U50" i="37"/>
  <c r="U51" i="37"/>
  <c r="U52" i="37"/>
  <c r="U53" i="37"/>
  <c r="U54" i="37"/>
  <c r="U55" i="37"/>
  <c r="U56" i="37"/>
  <c r="U57" i="37"/>
  <c r="U58" i="37"/>
  <c r="U59" i="37"/>
  <c r="U60" i="37"/>
  <c r="U61" i="37"/>
  <c r="U62" i="37"/>
  <c r="U63" i="37"/>
  <c r="U64" i="37"/>
  <c r="U65" i="37"/>
  <c r="U66" i="37"/>
  <c r="U67" i="37"/>
  <c r="U68" i="37"/>
  <c r="U69" i="37"/>
  <c r="U70" i="37"/>
  <c r="U71" i="37"/>
  <c r="U72" i="37"/>
  <c r="U73" i="37"/>
  <c r="U74" i="37"/>
  <c r="U75" i="37"/>
  <c r="U76" i="37"/>
  <c r="U77" i="37"/>
  <c r="U78" i="37"/>
  <c r="U79" i="37"/>
  <c r="U80" i="37"/>
  <c r="U81" i="37"/>
  <c r="U82" i="37"/>
  <c r="U83" i="37"/>
  <c r="U84" i="37"/>
  <c r="U85" i="37"/>
  <c r="U86" i="37"/>
  <c r="U87" i="37"/>
  <c r="U88" i="37"/>
  <c r="U89" i="37"/>
  <c r="U90" i="37"/>
  <c r="U91" i="37"/>
  <c r="U92" i="37"/>
  <c r="U93" i="37"/>
  <c r="U94" i="37"/>
  <c r="U95" i="37"/>
  <c r="U96" i="37"/>
  <c r="U97" i="37"/>
  <c r="U98" i="37"/>
  <c r="U99" i="37"/>
  <c r="U100" i="37"/>
  <c r="U101" i="37"/>
  <c r="U102" i="37"/>
  <c r="U103" i="37"/>
  <c r="U104" i="37"/>
  <c r="U105" i="37"/>
  <c r="U106" i="37"/>
  <c r="U107" i="37"/>
  <c r="U108" i="37"/>
  <c r="U109" i="37"/>
  <c r="U110" i="37"/>
  <c r="U111" i="37"/>
  <c r="U112" i="37"/>
  <c r="U113" i="37"/>
  <c r="U114" i="37"/>
  <c r="U115" i="37"/>
  <c r="U116" i="37"/>
  <c r="U117" i="37"/>
  <c r="U118" i="37"/>
  <c r="U119" i="37"/>
  <c r="U120" i="37"/>
  <c r="U121" i="37"/>
  <c r="U122" i="37"/>
  <c r="U123" i="37"/>
  <c r="U124" i="37"/>
  <c r="U125" i="37"/>
  <c r="U126" i="37"/>
  <c r="U127" i="37"/>
  <c r="U128" i="37"/>
  <c r="U129" i="37"/>
  <c r="U130" i="37"/>
  <c r="U131" i="37"/>
  <c r="U132" i="37"/>
  <c r="U133" i="37"/>
  <c r="U134" i="37"/>
  <c r="U135" i="37"/>
  <c r="U136" i="37"/>
  <c r="U137" i="37"/>
  <c r="U138" i="37"/>
  <c r="U139" i="37"/>
  <c r="U140" i="37"/>
  <c r="U141" i="37"/>
  <c r="U142" i="37"/>
  <c r="U143" i="37"/>
  <c r="U144" i="37"/>
  <c r="U145" i="37"/>
  <c r="U146" i="37"/>
  <c r="U147" i="37"/>
  <c r="U148" i="37"/>
  <c r="U149" i="37"/>
  <c r="U150" i="37"/>
  <c r="U151" i="37"/>
  <c r="U152" i="37"/>
  <c r="U153" i="37"/>
  <c r="U154" i="37"/>
  <c r="U155" i="37"/>
  <c r="U156" i="37"/>
  <c r="U157" i="37"/>
  <c r="U158" i="37"/>
  <c r="U159" i="37"/>
  <c r="U160" i="37"/>
  <c r="U161" i="37"/>
  <c r="U162" i="37"/>
  <c r="U163" i="37"/>
  <c r="U164" i="37"/>
  <c r="U165" i="37"/>
  <c r="U166" i="37"/>
  <c r="U167" i="37"/>
  <c r="U168" i="37"/>
  <c r="U169" i="37"/>
  <c r="U170" i="37"/>
  <c r="U171" i="37"/>
  <c r="U172" i="37"/>
  <c r="U173" i="37"/>
  <c r="U174" i="37"/>
  <c r="U175" i="37"/>
  <c r="U176" i="37"/>
  <c r="U177" i="37"/>
  <c r="U178" i="37"/>
  <c r="U179" i="37"/>
  <c r="U180" i="37"/>
  <c r="U181" i="37"/>
  <c r="U182" i="37"/>
  <c r="U183" i="37"/>
  <c r="U184" i="37"/>
  <c r="U185" i="37"/>
  <c r="U186" i="37"/>
  <c r="U187" i="37"/>
  <c r="U188" i="37"/>
  <c r="U189" i="37"/>
  <c r="U190" i="37"/>
  <c r="U191" i="37"/>
  <c r="U192" i="37"/>
  <c r="U193" i="37"/>
  <c r="U194" i="37"/>
  <c r="U195" i="37"/>
  <c r="U196" i="37"/>
  <c r="U197" i="37"/>
  <c r="U198" i="37"/>
  <c r="U199" i="37"/>
  <c r="U200" i="37"/>
  <c r="U201" i="37"/>
  <c r="U202" i="37"/>
  <c r="U203" i="37"/>
  <c r="U204" i="37"/>
  <c r="U205" i="37"/>
  <c r="U206" i="37"/>
  <c r="U207" i="37"/>
  <c r="U208" i="37"/>
  <c r="U209" i="37"/>
  <c r="U210" i="37"/>
  <c r="U211" i="37"/>
  <c r="U212" i="37"/>
  <c r="U213" i="37"/>
  <c r="U214" i="37"/>
  <c r="U215" i="37"/>
  <c r="U216" i="37"/>
  <c r="U217" i="37"/>
  <c r="U218" i="37"/>
  <c r="U219" i="37"/>
  <c r="U220" i="37"/>
  <c r="U221" i="37"/>
  <c r="U222" i="37"/>
  <c r="U223" i="37"/>
  <c r="U224" i="37"/>
  <c r="U225" i="37"/>
  <c r="U226" i="37"/>
  <c r="U227" i="37"/>
  <c r="U228" i="37"/>
  <c r="U229" i="37"/>
  <c r="U230" i="37"/>
  <c r="U231" i="37"/>
  <c r="U232" i="37"/>
  <c r="U233" i="37"/>
  <c r="U234" i="37"/>
  <c r="U235" i="37"/>
  <c r="U236" i="37"/>
  <c r="U237" i="37"/>
  <c r="U238" i="37"/>
  <c r="U239" i="37"/>
  <c r="U240" i="37"/>
  <c r="U241" i="37"/>
  <c r="U242" i="37"/>
  <c r="U243" i="37"/>
  <c r="U244" i="37"/>
  <c r="U245" i="37"/>
  <c r="U246" i="37"/>
  <c r="U247" i="37"/>
  <c r="U248" i="37"/>
  <c r="U249" i="37"/>
  <c r="U250" i="37"/>
  <c r="U251" i="37"/>
  <c r="U252" i="37"/>
  <c r="U253" i="37"/>
  <c r="U254" i="37"/>
  <c r="U255" i="37"/>
  <c r="U256" i="37"/>
  <c r="U257" i="37"/>
  <c r="U258" i="37"/>
  <c r="U259" i="37"/>
  <c r="U260" i="37"/>
  <c r="U261" i="37"/>
  <c r="U262" i="37"/>
  <c r="U263" i="37"/>
  <c r="U264" i="37"/>
  <c r="U265" i="37"/>
  <c r="U266" i="37"/>
  <c r="U267" i="37"/>
  <c r="U268" i="37"/>
  <c r="U269" i="37"/>
  <c r="U270" i="37"/>
  <c r="U271" i="37"/>
  <c r="U272" i="37"/>
  <c r="U273" i="37"/>
  <c r="U274" i="37"/>
  <c r="U275" i="37"/>
  <c r="U276" i="37"/>
  <c r="U277" i="37"/>
  <c r="U278" i="37"/>
  <c r="U279" i="37"/>
  <c r="U280" i="37"/>
  <c r="U281" i="37"/>
  <c r="U282" i="37"/>
  <c r="U283" i="37"/>
  <c r="U284" i="37"/>
  <c r="U285" i="37"/>
  <c r="U286" i="37"/>
  <c r="U287" i="37"/>
  <c r="U288" i="37"/>
  <c r="U289" i="37"/>
  <c r="U290" i="37"/>
  <c r="U291" i="37"/>
  <c r="U292" i="37"/>
  <c r="U293" i="37"/>
  <c r="U294" i="37"/>
  <c r="U295" i="37"/>
  <c r="U296" i="37"/>
  <c r="U297" i="37"/>
  <c r="U298" i="37"/>
  <c r="U299" i="37"/>
  <c r="U300" i="37"/>
  <c r="U301" i="37"/>
  <c r="U302" i="37"/>
  <c r="U303" i="37"/>
  <c r="U304" i="37"/>
  <c r="U305" i="37"/>
  <c r="U306" i="37"/>
  <c r="U307" i="37"/>
  <c r="U308" i="37"/>
  <c r="U309" i="37"/>
  <c r="U310" i="37"/>
  <c r="U311" i="37"/>
  <c r="U312" i="37"/>
  <c r="U313" i="37"/>
  <c r="U314" i="37"/>
  <c r="U315" i="37"/>
  <c r="U316" i="37"/>
  <c r="U317" i="37"/>
  <c r="U318" i="37"/>
  <c r="U319" i="37"/>
  <c r="U320" i="37"/>
  <c r="U321" i="37"/>
  <c r="U322" i="37"/>
  <c r="U323" i="37"/>
  <c r="U324" i="37"/>
  <c r="U325" i="37"/>
  <c r="U326" i="37"/>
  <c r="U327" i="37"/>
  <c r="U328" i="37"/>
  <c r="U329" i="37"/>
  <c r="U330" i="37"/>
  <c r="U331" i="37"/>
  <c r="U332" i="37"/>
  <c r="U333" i="37"/>
  <c r="U334" i="37"/>
  <c r="U335" i="37"/>
  <c r="U336" i="37"/>
  <c r="U337" i="37"/>
  <c r="U338" i="37"/>
  <c r="U339" i="37"/>
  <c r="U340" i="37"/>
  <c r="U341" i="37"/>
  <c r="U342" i="37"/>
  <c r="U343" i="37"/>
  <c r="U344" i="37"/>
  <c r="U345" i="37"/>
  <c r="U346" i="37"/>
  <c r="U347" i="37"/>
  <c r="U348" i="37"/>
  <c r="U349" i="37"/>
  <c r="U350" i="37"/>
  <c r="U351" i="37"/>
  <c r="U352" i="37"/>
  <c r="U353" i="37"/>
  <c r="U354" i="37"/>
  <c r="U355" i="37"/>
  <c r="U356" i="37"/>
  <c r="U357" i="37"/>
  <c r="U358" i="37"/>
  <c r="U359" i="37"/>
  <c r="U360" i="37"/>
  <c r="U361" i="37"/>
  <c r="U362" i="37"/>
  <c r="U363" i="37"/>
  <c r="U364" i="37"/>
  <c r="U365" i="37"/>
  <c r="U366" i="37"/>
  <c r="U367" i="37"/>
  <c r="U368" i="37"/>
  <c r="U369" i="37"/>
  <c r="U370" i="37"/>
  <c r="U371" i="37"/>
  <c r="U372" i="37"/>
  <c r="U373" i="37"/>
  <c r="U374" i="37"/>
  <c r="U375" i="37"/>
  <c r="U376" i="37"/>
  <c r="U377" i="37"/>
  <c r="U378" i="37"/>
  <c r="U379" i="37"/>
  <c r="U380" i="37"/>
  <c r="U381" i="37"/>
  <c r="U382" i="37"/>
  <c r="U383" i="37"/>
  <c r="U384" i="37"/>
  <c r="U3" i="37"/>
  <c r="G6" i="23" l="1"/>
  <c r="H10" i="48"/>
  <c r="G10" i="48"/>
  <c r="AC24" i="37" l="1"/>
  <c r="AC14" i="37"/>
  <c r="AC9" i="37"/>
  <c r="AI9" i="37" s="1"/>
  <c r="AA22" i="37"/>
  <c r="AA16" i="37"/>
  <c r="AC20" i="37"/>
  <c r="AC17" i="37"/>
  <c r="AB12" i="37"/>
  <c r="AA12" i="37"/>
  <c r="AA18" i="37"/>
  <c r="AB22" i="37"/>
  <c r="AA10" i="37"/>
  <c r="AG10" i="37" s="1"/>
  <c r="AC15" i="37"/>
  <c r="AC10" i="37"/>
  <c r="AI10" i="37" s="1"/>
  <c r="AC8" i="37"/>
  <c r="AI8" i="37" s="1"/>
  <c r="AC13" i="37"/>
  <c r="AC25" i="37"/>
  <c r="AC11" i="37"/>
  <c r="AC21" i="37"/>
  <c r="AC23" i="37"/>
  <c r="AC19" i="37"/>
  <c r="AB18" i="37"/>
  <c r="AB16" i="37"/>
  <c r="AB10" i="37"/>
  <c r="AH10" i="37" s="1"/>
  <c r="AA11" i="37"/>
  <c r="AC12" i="37"/>
  <c r="AA15" i="37"/>
  <c r="AC16" i="37"/>
  <c r="F6" i="23" s="1"/>
  <c r="AA17" i="37"/>
  <c r="AC18" i="37"/>
  <c r="AC27" i="37" s="1"/>
  <c r="AA21" i="37"/>
  <c r="AC22" i="37"/>
  <c r="AA25" i="37"/>
  <c r="AB11" i="37"/>
  <c r="AB15" i="37"/>
  <c r="AB17" i="37"/>
  <c r="AB21" i="37"/>
  <c r="AB25" i="37"/>
  <c r="AA14" i="37"/>
  <c r="AA20" i="37"/>
  <c r="AA24" i="37"/>
  <c r="AG8" i="37"/>
  <c r="AB14" i="37"/>
  <c r="AB20" i="37"/>
  <c r="AB24" i="37"/>
  <c r="AB8" i="37"/>
  <c r="AH8" i="37" s="1"/>
  <c r="AA9" i="37"/>
  <c r="AG9" i="37" s="1"/>
  <c r="AA13" i="37"/>
  <c r="AA19" i="37"/>
  <c r="AA23" i="37"/>
  <c r="AB9" i="37"/>
  <c r="AH9" i="37" s="1"/>
  <c r="AB13" i="37"/>
  <c r="AB19" i="37"/>
  <c r="AB23" i="37"/>
  <c r="F10" i="48" l="1"/>
  <c r="E10" i="48"/>
  <c r="I10" i="48" s="1"/>
  <c r="J10" i="48" s="1"/>
  <c r="E6" i="23"/>
  <c r="AF16" i="37" a="1"/>
  <c r="AL9" i="37"/>
  <c r="AK9" i="37"/>
  <c r="Z28" i="37"/>
  <c r="Z29" i="37"/>
  <c r="H10" i="27"/>
  <c r="I10" i="27" s="1"/>
  <c r="J10" i="27" s="1"/>
  <c r="K10" i="27" s="1"/>
  <c r="G10" i="27"/>
  <c r="AF16" i="37" l="1"/>
  <c r="H6" i="23"/>
  <c r="I6" i="23" l="1"/>
  <c r="J6" i="23" s="1"/>
  <c r="K10" i="4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E14" authorId="0" shapeId="0" xr:uid="{344742ED-D3DC-477C-A6E4-DA622F3B19F5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tại nhiệt độ làm việc 75oC</t>
        </r>
      </text>
    </comment>
    <comment ref="F14" authorId="0" shapeId="0" xr:uid="{7D697A50-B096-4A71-99E4-3F585308B9EB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ở nhiệt độ làm việc 120oC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<sst xmlns="http://schemas.openxmlformats.org/spreadsheetml/2006/main" count="99" uniqueCount="69">
  <si>
    <t>Max</t>
  </si>
  <si>
    <t>Min</t>
  </si>
  <si>
    <t>TB</t>
  </si>
  <si>
    <t>STT</t>
  </si>
  <si>
    <t>Thông số</t>
  </si>
  <si>
    <t>Điện áp</t>
  </si>
  <si>
    <t>U12 (V)</t>
  </si>
  <si>
    <t>U23 (V)</t>
  </si>
  <si>
    <t>U31 (V)</t>
  </si>
  <si>
    <t>Dòng điện</t>
  </si>
  <si>
    <t>I1 (A)</t>
  </si>
  <si>
    <t>I2 (A)</t>
  </si>
  <si>
    <t>I3 (A)</t>
  </si>
  <si>
    <t xml:space="preserve">Độ lệch pha </t>
  </si>
  <si>
    <t>∆U (%)</t>
  </si>
  <si>
    <t>∆I (%)</t>
  </si>
  <si>
    <t>PF</t>
  </si>
  <si>
    <t>Hệ số công suất</t>
  </si>
  <si>
    <t>Công suất</t>
  </si>
  <si>
    <t>P (kW)</t>
  </si>
  <si>
    <t>S (kVA)</t>
  </si>
  <si>
    <t>Q (kVAR)</t>
  </si>
  <si>
    <t>Tổng biến dạng sóng hài điện áp</t>
  </si>
  <si>
    <t>THD1 (%)</t>
  </si>
  <si>
    <t>THD2 (%)</t>
  </si>
  <si>
    <t>THD3 (%)</t>
  </si>
  <si>
    <t>Tổng biến dạng sóng hài dòng điện</t>
  </si>
  <si>
    <t>TDD1 (%)</t>
  </si>
  <si>
    <t>TDD2 (%)</t>
  </si>
  <si>
    <t>TDD3 (%)</t>
  </si>
  <si>
    <t>Giới hạn</t>
  </si>
  <si>
    <t>-5% ≤ δ ≤ 5% tại điện áp danh định 400V</t>
  </si>
  <si>
    <t>&lt;5%</t>
  </si>
  <si>
    <t>không quy định, khuyến cáo nên dưới 10%</t>
  </si>
  <si>
    <t>&gt; 0,9</t>
  </si>
  <si>
    <t>&lt; 8%</t>
  </si>
  <si>
    <t>Đánh giá</t>
  </si>
  <si>
    <t>max (%)</t>
  </si>
  <si>
    <t>min (%)</t>
  </si>
  <si>
    <t>TT</t>
  </si>
  <si>
    <t>MBA</t>
  </si>
  <si>
    <t>Chủng loại</t>
  </si>
  <si>
    <t>Công suất định mức (kVA)</t>
  </si>
  <si>
    <t>Giá trị đo kiểm</t>
  </si>
  <si>
    <t>Tổn thất tại MBA (kW)</t>
  </si>
  <si>
    <t>Tổn thất so với tiêu thụ hiện tại (%)</t>
  </si>
  <si>
    <t>Công suất (kVA)</t>
  </si>
  <si>
    <t>Tổn hao không tải (W)</t>
  </si>
  <si>
    <t>Tổn thất có tải (W)</t>
  </si>
  <si>
    <t>Công suất tải (kVA)</t>
  </si>
  <si>
    <t>Cosj</t>
  </si>
  <si>
    <t>TTKT</t>
  </si>
  <si>
    <t>TTCT</t>
  </si>
  <si>
    <t>∑TT</t>
  </si>
  <si>
    <t>Silic</t>
  </si>
  <si>
    <t>Siêu giảm tổn thất</t>
  </si>
  <si>
    <t>Thông số MBA</t>
  </si>
  <si>
    <t>Giá trị tính toán</t>
  </si>
  <si>
    <t>TTKT (kW)</t>
  </si>
  <si>
    <t>TTNM (kW)</t>
  </si>
  <si>
    <t>TTCT (kW)</t>
  </si>
  <si>
    <t>∑TT (KW)</t>
  </si>
  <si>
    <t>Số 2</t>
  </si>
  <si>
    <t>MBA Khô</t>
  </si>
  <si>
    <t>CS (kVA)</t>
  </si>
  <si>
    <t>Tổn thất không tải (W)</t>
  </si>
  <si>
    <t>Tổn thất ngắn mạch (W)</t>
  </si>
  <si>
    <t>Số 1</t>
  </si>
  <si>
    <t>&lt;12%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</si>
</sst>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_-;\-* #,##0.00_-;_-* &quot;-&quot;??_-;_-@_-"/>
    <numFmt numFmtId="165" formatCode="#,##0.000"/>
    <numFmt numFmtId="166" formatCode="#,##0.0"/>
    <numFmt numFmtId="167" formatCode="0.0"/>
    <numFmt numFmtId="168" formatCode="0.000"/>
    <numFmt numFmtId="169" formatCode="_(* #,##0.000_);_(* \(#,##0.000\);_(* &quot;-&quot;??_);_(@_)"/>
  </numFmts>
  <fonts count="10" x14ac:knownFonts="1">
    <font>
      <sz val="12"/>
      <color theme="1"/>
      <name val="Times New Roman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Calibri"/>
      <family val="2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2"/>
      <color rgb="FFFF0000"/>
      <name val="Times New Roman"/>
      <family val="1"/>
    </font>
    <font>
      <sz val="8"/>
      <name val="Times New Roman"/>
      <family val="2"/>
    </font>
    <font>
      <sz val="12"/>
      <color theme="1"/>
      <name val="Times New Roman"/>
      <family val="2"/>
    </font>
    <font>
      <sz val="12"/>
      <color rgb="FF0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</borders>
  <cellStyleXfs count="2">
    <xf numFmtId="0" fontId="0" fillId="0" borderId="0"/>
    <xf numFmtId="164" fontId="8" fillId="0" borderId="0" applyFont="0" applyFill="0" applyBorder="0" applyAlignment="0" applyProtection="0"/>
  </cellStyleXfs>
  <cellXfs count="102">
    <xf numFmtId="0" fontId="0" fillId="0" borderId="0" xfId="0"/>
    <xf numFmtId="3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0" fontId="1" fillId="0" borderId="11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/>
    <xf numFmtId="166" fontId="0" fillId="0" borderId="1" xfId="0" applyNumberFormat="1" applyBorder="1" applyAlignment="1">
      <alignment horizontal="left" vertical="center"/>
    </xf>
    <xf numFmtId="166" fontId="0" fillId="0" borderId="0" xfId="0" applyNumberFormat="1" applyAlignment="1">
      <alignment horizontal="left" vertical="center"/>
    </xf>
    <xf numFmtId="0" fontId="0" fillId="2" borderId="0" xfId="0" applyFill="1"/>
    <xf numFmtId="0" fontId="3" fillId="0" borderId="0" xfId="0" applyFont="1" applyAlignment="1">
      <alignment vertical="center"/>
    </xf>
    <xf numFmtId="3" fontId="1" fillId="2" borderId="0" xfId="0" applyNumberFormat="1" applyFont="1" applyFill="1" applyAlignment="1">
      <alignment vertical="center"/>
    </xf>
    <xf numFmtId="166" fontId="1" fillId="2" borderId="0" xfId="0" applyNumberFormat="1" applyFont="1" applyFill="1" applyAlignment="1">
      <alignment vertical="center"/>
    </xf>
    <xf numFmtId="166" fontId="0" fillId="0" borderId="0" xfId="0" applyNumberFormat="1"/>
    <xf numFmtId="4" fontId="0" fillId="0" borderId="1" xfId="0" applyNumberFormat="1" applyBorder="1" applyAlignment="1">
      <alignment horizontal="left" vertical="center"/>
    </xf>
    <xf numFmtId="4" fontId="0" fillId="0" borderId="11" xfId="0" applyNumberFormat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168" fontId="3" fillId="0" borderId="0" xfId="0" applyNumberFormat="1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4" borderId="0" xfId="0" applyFill="1"/>
    <xf numFmtId="0" fontId="0" fillId="3" borderId="1" xfId="0" applyFill="1" applyBorder="1" applyAlignment="1">
      <alignment vertical="center"/>
    </xf>
    <xf numFmtId="0" fontId="0" fillId="4" borderId="21" xfId="0" applyFill="1" applyBorder="1"/>
    <xf numFmtId="0" fontId="0" fillId="4" borderId="10" xfId="0" applyFill="1" applyBorder="1"/>
    <xf numFmtId="0" fontId="1" fillId="0" borderId="11" xfId="0" applyFont="1" applyBorder="1" applyAlignment="1">
      <alignment horizontal="center" vertical="center" wrapText="1"/>
    </xf>
    <xf numFmtId="3" fontId="9" fillId="0" borderId="11" xfId="0" applyNumberFormat="1" applyFont="1" applyBorder="1" applyAlignment="1">
      <alignment vertical="center" wrapText="1"/>
    </xf>
    <xf numFmtId="167" fontId="9" fillId="0" borderId="11" xfId="0" applyNumberFormat="1" applyFont="1" applyBorder="1"/>
    <xf numFmtId="169" fontId="9" fillId="0" borderId="11" xfId="1" applyNumberFormat="1" applyFont="1" applyBorder="1"/>
    <xf numFmtId="0" fontId="0" fillId="4" borderId="11" xfId="0" applyFill="1" applyBorder="1"/>
    <xf numFmtId="166" fontId="0" fillId="4" borderId="11" xfId="0" applyNumberFormat="1" applyFill="1" applyBorder="1"/>
    <xf numFmtId="4" fontId="0" fillId="4" borderId="20" xfId="0" applyNumberFormat="1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8" xfId="0" applyFill="1" applyBorder="1"/>
    <xf numFmtId="0" fontId="0" fillId="4" borderId="24" xfId="0" applyFill="1" applyBorder="1"/>
    <xf numFmtId="0" fontId="0" fillId="4" borderId="5" xfId="0" applyFill="1" applyBorder="1"/>
    <xf numFmtId="3" fontId="0" fillId="4" borderId="1" xfId="0" applyNumberFormat="1" applyFill="1" applyBorder="1"/>
    <xf numFmtId="3" fontId="0" fillId="4" borderId="9" xfId="0" applyNumberFormat="1" applyFill="1" applyBorder="1"/>
    <xf numFmtId="3" fontId="0" fillId="4" borderId="11" xfId="0" applyNumberFormat="1" applyFill="1" applyBorder="1"/>
    <xf numFmtId="3" fontId="0" fillId="4" borderId="20" xfId="0" applyNumberFormat="1" applyFill="1" applyBorder="1"/>
    <xf numFmtId="4" fontId="0" fillId="0" borderId="0" xfId="0" applyNumberForma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8" fontId="1" fillId="0" borderId="0" xfId="0" applyNumberFormat="1" applyFont="1"/>
    <xf numFmtId="168" fontId="1" fillId="3" borderId="1" xfId="0" applyNumberFormat="1" applyFont="1" applyFill="1" applyBorder="1" applyAlignment="1">
      <alignment horizontal="center" vertical="center"/>
    </xf>
    <xf numFmtId="2" fontId="1" fillId="0" borderId="0" xfId="0" applyNumberFormat="1" applyFont="1"/>
    <xf numFmtId="2" fontId="1" fillId="3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3" fontId="6" fillId="0" borderId="1" xfId="0" applyNumberFormat="1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168" fontId="6" fillId="0" borderId="1" xfId="0" applyNumberFormat="1" applyFont="1" applyBorder="1" applyAlignment="1">
      <alignment horizontal="center" vertical="center"/>
    </xf>
    <xf numFmtId="166" fontId="1" fillId="0" borderId="1" xfId="0" applyNumberFormat="1" applyFont="1" applyBorder="1" applyAlignment="1">
      <alignment horizontal="center"/>
    </xf>
    <xf numFmtId="4" fontId="1" fillId="0" borderId="9" xfId="0" applyNumberFormat="1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left" vertical="center" wrapText="1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628650</xdr:colOff>
      <xdr:row>0</xdr:row>
      <xdr:rowOff>0</xdr:rowOff>
    </xdr:from>
    <xdr:to>
      <xdr:col>20</xdr:col>
      <xdr:colOff>170939</xdr:colOff>
      <xdr:row>6</xdr:row>
      <xdr:rowOff>60960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BE656DD-F19B-4CED-92B6-22D247B87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0"/>
          <a:ext cx="7086089" cy="1261110"/>
        </a:xfrm>
        <a:prstGeom prst="rect">
          <a:avLst/>
        </a:prstGeom>
      </xdr:spPr>
    </xdr:pic>
    <xdr:clientData/>
  </xdr:twoCellAnchor>
  <xdr:twoCellAnchor editAs="oneCell">
    <xdr:from>
      <xdr:col>3</xdr:col>
      <xdr:colOff>1645921</xdr:colOff>
      <xdr:row>0</xdr:row>
      <xdr:rowOff>0</xdr:rowOff>
    </xdr:from>
    <xdr:to>
      <xdr:col>11</xdr:col>
      <xdr:colOff>785439</xdr:colOff>
      <xdr:row>6</xdr:row>
      <xdr:rowOff>60960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AD6893E-C0FB-4827-BE26-04ACABCBF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36671" y="0"/>
          <a:ext cx="6854768" cy="1261110"/>
        </a:xfrm>
        <a:prstGeom prst="rect">
          <a:avLst/>
        </a:prstGeom>
      </xdr:spPr>
    </xdr:pic>
    <xdr:clientData/>
  </xdr:twoCellAnchor>
  <xdr:twoCellAnchor editAs="oneCell">
    <xdr:from>
      <xdr:col>9</xdr:col>
      <xdr:colOff>628650</xdr:colOff>
      <xdr:row>0</xdr:row>
      <xdr:rowOff>0</xdr:rowOff>
    </xdr:from>
    <xdr:to>
      <xdr:col>17</xdr:col>
      <xdr:colOff>323339</xdr:colOff>
      <xdr:row>6</xdr:row>
      <xdr:rowOff>60960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32801C8B-01A6-4E8E-A8E6-3A43581DE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0"/>
          <a:ext cx="7086089" cy="1261110"/>
        </a:xfrm>
        <a:prstGeom prst="rect">
          <a:avLst/>
        </a:prstGeom>
      </xdr:spPr>
    </xdr:pic>
    <xdr:clientData/>
  </xdr:twoCellAnchor>
  <xdr:twoCellAnchor editAs="oneCell">
    <xdr:from>
      <xdr:col>3</xdr:col>
      <xdr:colOff>1645921</xdr:colOff>
      <xdr:row>0</xdr:row>
      <xdr:rowOff>0</xdr:rowOff>
    </xdr:from>
    <xdr:to>
      <xdr:col>9</xdr:col>
      <xdr:colOff>490164</xdr:colOff>
      <xdr:row>6</xdr:row>
      <xdr:rowOff>60960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F59118E3-6475-4C02-BFA5-51F1CF7E9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36671" y="0"/>
          <a:ext cx="6854768" cy="12611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628650</xdr:colOff>
      <xdr:row>0</xdr:row>
      <xdr:rowOff>0</xdr:rowOff>
    </xdr:from>
    <xdr:to>
      <xdr:col>17</xdr:col>
      <xdr:colOff>323339</xdr:colOff>
      <xdr:row>6</xdr:row>
      <xdr:rowOff>60960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6B36F4F-58D5-49FC-A271-1BE0C2DA7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0850" y="0"/>
          <a:ext cx="5181089" cy="1261110"/>
        </a:xfrm>
        <a:prstGeom prst="rect">
          <a:avLst/>
        </a:prstGeom>
      </xdr:spPr>
    </xdr:pic>
    <xdr:clientData/>
  </xdr:twoCellAnchor>
  <xdr:twoCellAnchor editAs="oneCell">
    <xdr:from>
      <xdr:col>3</xdr:col>
      <xdr:colOff>1645921</xdr:colOff>
      <xdr:row>0</xdr:row>
      <xdr:rowOff>0</xdr:rowOff>
    </xdr:from>
    <xdr:to>
      <xdr:col>9</xdr:col>
      <xdr:colOff>490164</xdr:colOff>
      <xdr:row>6</xdr:row>
      <xdr:rowOff>60960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DE74F70-6911-4C22-B18D-4880C4F65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36671" y="0"/>
          <a:ext cx="5181089" cy="12611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45E98-B8DD-465D-AB71-DBEE8223B362}">
  <dimension ref="B1:AL3717"/>
  <sheetViews>
    <sheetView topLeftCell="T6" zoomScale="176" zoomScaleNormal="85" workbookViewId="0">
      <selection activeCell="AE23" sqref="AE23:AE25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6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19"/>
      <c r="C2" s="14"/>
      <c r="D2" s="14"/>
      <c r="E2" s="15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7" t="s">
        <v>3</v>
      </c>
      <c r="Y7" s="74" t="s">
        <v>4</v>
      </c>
      <c r="Z7" s="74"/>
      <c r="AA7" s="23" t="s">
        <v>0</v>
      </c>
      <c r="AB7" s="23" t="s">
        <v>1</v>
      </c>
      <c r="AC7" s="23" t="s">
        <v>2</v>
      </c>
      <c r="AD7" s="23" t="s">
        <v>30</v>
      </c>
      <c r="AE7" s="8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5">
        <v>1</v>
      </c>
      <c r="Y8" s="76" t="s">
        <v>5</v>
      </c>
      <c r="Z8" s="24" t="s">
        <v>6</v>
      </c>
      <c r="AA8" s="10">
        <f>MAX(I:I)</f>
        <v>0</v>
      </c>
      <c r="AB8" s="10">
        <f>MIN(I:I)</f>
        <v>0</v>
      </c>
      <c r="AC8" s="10" t="e">
        <f>AVERAGE(I:I)</f>
        <v>#DIV/0!</v>
      </c>
      <c r="AD8" s="77" t="s">
        <v>31</v>
      </c>
      <c r="AE8" s="67"/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9" t="s">
        <v>37</v>
      </c>
      <c r="AL8" s="9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5"/>
      <c r="Y9" s="76"/>
      <c r="Z9" s="24" t="s">
        <v>7</v>
      </c>
      <c r="AA9" s="10">
        <f>MAX(J:J)</f>
        <v>0</v>
      </c>
      <c r="AB9" s="10">
        <f>MIN(J:J)</f>
        <v>0</v>
      </c>
      <c r="AC9" s="10" t="e">
        <f>AVERAGE(J:J)</f>
        <v>#DIV/0!</v>
      </c>
      <c r="AD9" s="77"/>
      <c r="AE9" s="68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5"/>
      <c r="Y10" s="76"/>
      <c r="Z10" s="24" t="s">
        <v>8</v>
      </c>
      <c r="AA10" s="10">
        <f>MAX(K:K)</f>
        <v>0</v>
      </c>
      <c r="AB10" s="10">
        <f>MIN(K:K)</f>
        <v>0</v>
      </c>
      <c r="AC10" s="10" t="e">
        <f>AVERAGE(K:K)</f>
        <v>#DIV/0!</v>
      </c>
      <c r="AD10" s="77"/>
      <c r="AE10" s="69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5">
        <v>2</v>
      </c>
      <c r="Y11" s="76" t="s">
        <v>9</v>
      </c>
      <c r="Z11" s="24" t="s">
        <v>10</v>
      </c>
      <c r="AA11" s="10">
        <f>MAX(B:B)</f>
        <v>0</v>
      </c>
      <c r="AB11" s="10">
        <f>MIN(B:B)</f>
        <v>0</v>
      </c>
      <c r="AC11" s="10" t="e">
        <f>AVERAGE(B:B)</f>
        <v>#DIV/0!</v>
      </c>
      <c r="AD11" s="66"/>
      <c r="AE11" s="67"/>
    </row>
    <row r="12" spans="2:38" x14ac:dyDescent="0.2">
      <c r="B12"/>
      <c r="C12"/>
      <c r="D12"/>
      <c r="E12"/>
      <c r="U12" s="1">
        <f t="shared" si="0"/>
        <v>0</v>
      </c>
      <c r="X12" s="75"/>
      <c r="Y12" s="76"/>
      <c r="Z12" s="24" t="s">
        <v>11</v>
      </c>
      <c r="AA12" s="10">
        <f>MAX(C:C)</f>
        <v>0</v>
      </c>
      <c r="AB12" s="10">
        <f>MIN(C:C)</f>
        <v>0</v>
      </c>
      <c r="AC12" s="10" t="e">
        <f>AVERAGE(C:C)</f>
        <v>#DIV/0!</v>
      </c>
      <c r="AD12" s="66"/>
      <c r="AE12" s="68"/>
    </row>
    <row r="13" spans="2:38" x14ac:dyDescent="0.2">
      <c r="B13"/>
      <c r="C13"/>
      <c r="D13"/>
      <c r="E13"/>
      <c r="U13" s="1">
        <f t="shared" si="0"/>
        <v>0</v>
      </c>
      <c r="X13" s="75"/>
      <c r="Y13" s="76"/>
      <c r="Z13" s="24" t="s">
        <v>12</v>
      </c>
      <c r="AA13" s="10">
        <f>MAX(D:D)</f>
        <v>0</v>
      </c>
      <c r="AB13" s="10">
        <f>MIN(D:D)</f>
        <v>0</v>
      </c>
      <c r="AC13" s="10" t="e">
        <f>AVERAGE(D:D)</f>
        <v>#DIV/0!</v>
      </c>
      <c r="AD13" s="66"/>
      <c r="AE13" s="69"/>
    </row>
    <row r="14" spans="2:38" ht="50" customHeight="1" x14ac:dyDescent="0.2">
      <c r="B14"/>
      <c r="C14"/>
      <c r="D14"/>
      <c r="E14"/>
      <c r="U14" s="1">
        <f t="shared" si="0"/>
        <v>0</v>
      </c>
      <c r="X14" s="75">
        <v>3</v>
      </c>
      <c r="Y14" s="76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2" t="s">
        <v>32</v>
      </c>
      <c r="AE14" s="63"/>
    </row>
    <row r="15" spans="2:38" ht="50" customHeight="1" x14ac:dyDescent="0.2">
      <c r="B15"/>
      <c r="C15"/>
      <c r="D15"/>
      <c r="E15"/>
      <c r="U15" s="1">
        <f t="shared" si="0"/>
        <v>0</v>
      </c>
      <c r="X15" s="75"/>
      <c r="Y15" s="76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5" t="s">
        <v>33</v>
      </c>
      <c r="AE15" s="63"/>
    </row>
    <row r="16" spans="2:38" x14ac:dyDescent="0.2">
      <c r="B16"/>
      <c r="C16"/>
      <c r="D16"/>
      <c r="E16"/>
      <c r="U16" s="1">
        <f t="shared" si="0"/>
        <v>0</v>
      </c>
      <c r="W16" s="3"/>
      <c r="X16" s="21">
        <v>4</v>
      </c>
      <c r="Y16" s="24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2" t="s">
        <v>34</v>
      </c>
      <c r="AE16" s="63"/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64">
        <v>5</v>
      </c>
      <c r="Y17" s="76" t="s">
        <v>18</v>
      </c>
      <c r="Z17" s="4" t="s">
        <v>19</v>
      </c>
      <c r="AA17" s="10">
        <f>MAX(E:E)</f>
        <v>0</v>
      </c>
      <c r="AB17" s="10">
        <f>MIN(E:E)</f>
        <v>0</v>
      </c>
      <c r="AC17" s="10" t="e">
        <f>AVERAGE(E:E)</f>
        <v>#DIV/0!</v>
      </c>
      <c r="AD17" s="66"/>
      <c r="AE17" s="67"/>
    </row>
    <row r="18" spans="2:31" x14ac:dyDescent="0.2">
      <c r="B18"/>
      <c r="C18"/>
      <c r="D18"/>
      <c r="E18"/>
      <c r="U18" s="1">
        <f t="shared" si="0"/>
        <v>0</v>
      </c>
      <c r="W18" s="3"/>
      <c r="X18" s="64"/>
      <c r="Y18" s="76"/>
      <c r="Z18" s="4" t="s">
        <v>20</v>
      </c>
      <c r="AA18" s="10">
        <f>MAX(G:G)</f>
        <v>0</v>
      </c>
      <c r="AB18" s="10">
        <f>MIN(G:G)</f>
        <v>0</v>
      </c>
      <c r="AC18" s="10" t="e">
        <f>AVERAGE(G:G)</f>
        <v>#DIV/0!</v>
      </c>
      <c r="AD18" s="66"/>
      <c r="AE18" s="68"/>
    </row>
    <row r="19" spans="2:31" x14ac:dyDescent="0.2">
      <c r="B19"/>
      <c r="C19"/>
      <c r="D19"/>
      <c r="E19"/>
      <c r="U19" s="1">
        <f t="shared" si="0"/>
        <v>0</v>
      </c>
      <c r="X19" s="64"/>
      <c r="Y19" s="76"/>
      <c r="Z19" s="4" t="s">
        <v>21</v>
      </c>
      <c r="AA19" s="10">
        <f>MAX(F:F)</f>
        <v>0</v>
      </c>
      <c r="AB19" s="10">
        <f>MIN(F:F)</f>
        <v>0</v>
      </c>
      <c r="AC19" s="10" t="e">
        <f>AVERAGE(F:F)</f>
        <v>#DIV/0!</v>
      </c>
      <c r="AD19" s="66"/>
      <c r="AE19" s="69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64">
        <v>6</v>
      </c>
      <c r="Y20" s="65" t="s">
        <v>22</v>
      </c>
      <c r="Z20" s="4" t="s">
        <v>23</v>
      </c>
      <c r="AA20" s="17">
        <f>MAX(L:L)</f>
        <v>0</v>
      </c>
      <c r="AB20" s="17">
        <f>MIN(L:L)</f>
        <v>0</v>
      </c>
      <c r="AC20" s="17" t="e">
        <f>AVERAGE(L:L)</f>
        <v>#DIV/0!</v>
      </c>
      <c r="AD20" s="66" t="s">
        <v>35</v>
      </c>
      <c r="AE20" s="67"/>
    </row>
    <row r="21" spans="2:31" x14ac:dyDescent="0.2">
      <c r="B21"/>
      <c r="C21"/>
      <c r="D21"/>
      <c r="E21"/>
      <c r="U21" s="1">
        <f t="shared" si="0"/>
        <v>0</v>
      </c>
      <c r="X21" s="64"/>
      <c r="Y21" s="65"/>
      <c r="Z21" s="4" t="s">
        <v>24</v>
      </c>
      <c r="AA21" s="17">
        <f>MAX(M:M)</f>
        <v>0</v>
      </c>
      <c r="AB21" s="17">
        <f>MIN(M:M)</f>
        <v>0</v>
      </c>
      <c r="AC21" s="17" t="e">
        <f>AVERAGE(M:M)</f>
        <v>#DIV/0!</v>
      </c>
      <c r="AD21" s="66"/>
      <c r="AE21" s="68"/>
    </row>
    <row r="22" spans="2:31" x14ac:dyDescent="0.2">
      <c r="B22"/>
      <c r="C22"/>
      <c r="D22"/>
      <c r="E22"/>
      <c r="U22" s="1">
        <f t="shared" si="0"/>
        <v>0</v>
      </c>
      <c r="W22" s="3"/>
      <c r="X22" s="64"/>
      <c r="Y22" s="65"/>
      <c r="Z22" s="4" t="s">
        <v>25</v>
      </c>
      <c r="AA22" s="17">
        <f>MAX(N:N)</f>
        <v>0</v>
      </c>
      <c r="AB22" s="17">
        <f>MIN(N:N)</f>
        <v>0</v>
      </c>
      <c r="AC22" s="17" t="e">
        <f>AVERAGE(N:N)</f>
        <v>#DIV/0!</v>
      </c>
      <c r="AD22" s="66"/>
      <c r="AE22" s="69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64">
        <v>7</v>
      </c>
      <c r="Y23" s="65" t="s">
        <v>26</v>
      </c>
      <c r="Z23" s="4" t="s">
        <v>27</v>
      </c>
      <c r="AA23" s="17">
        <f>MAX(O:O)</f>
        <v>0</v>
      </c>
      <c r="AB23" s="17">
        <f>MIN(O:O)</f>
        <v>0</v>
      </c>
      <c r="AC23" s="17" t="e">
        <f>AVERAGE(O:O)</f>
        <v>#DIV/0!</v>
      </c>
      <c r="AD23" s="66" t="s">
        <v>68</v>
      </c>
      <c r="AE23" s="67"/>
    </row>
    <row r="24" spans="2:31" x14ac:dyDescent="0.2">
      <c r="B24"/>
      <c r="C24"/>
      <c r="D24"/>
      <c r="E24"/>
      <c r="U24" s="1">
        <f t="shared" si="0"/>
        <v>0</v>
      </c>
      <c r="X24" s="64"/>
      <c r="Y24" s="65"/>
      <c r="Z24" s="4" t="s">
        <v>28</v>
      </c>
      <c r="AA24" s="17">
        <f>MAX(P:P)</f>
        <v>0</v>
      </c>
      <c r="AB24" s="17">
        <f>MIN(P:P)</f>
        <v>0</v>
      </c>
      <c r="AC24" s="17" t="e">
        <f>AVERAGE(P:P)</f>
        <v>#DIV/0!</v>
      </c>
      <c r="AD24" s="66"/>
      <c r="AE24" s="68"/>
    </row>
    <row r="25" spans="2:31" ht="17" thickBot="1" x14ac:dyDescent="0.25">
      <c r="B25"/>
      <c r="C25"/>
      <c r="D25"/>
      <c r="E25"/>
      <c r="U25" s="1">
        <f t="shared" si="0"/>
        <v>0</v>
      </c>
      <c r="X25" s="70"/>
      <c r="Y25" s="71"/>
      <c r="Z25" s="6" t="s">
        <v>29</v>
      </c>
      <c r="AA25" s="18">
        <f>MAX(Q:Q)</f>
        <v>0</v>
      </c>
      <c r="AB25" s="18">
        <f>MIN(Q:Q)</f>
        <v>0</v>
      </c>
      <c r="AC25" s="18" t="e">
        <f>AVERAGE(Q:Q)</f>
        <v>#DIV/0!</v>
      </c>
      <c r="AD25" s="72"/>
      <c r="AE25" s="73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1"/>
      <c r="AB27" s="11"/>
      <c r="AC27" s="46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U103" s="1">
        <f t="shared" si="2"/>
        <v>0</v>
      </c>
    </row>
    <row r="104" spans="2:21" x14ac:dyDescent="0.2">
      <c r="B104"/>
      <c r="C104"/>
      <c r="D104"/>
      <c r="E104"/>
      <c r="F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U104" s="1">
        <f t="shared" si="2"/>
        <v>0</v>
      </c>
    </row>
    <row r="105" spans="2:21" x14ac:dyDescent="0.2">
      <c r="B105"/>
      <c r="C105"/>
      <c r="D105"/>
      <c r="E105"/>
      <c r="F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U105" s="1">
        <f t="shared" si="2"/>
        <v>0</v>
      </c>
    </row>
    <row r="106" spans="2:21" x14ac:dyDescent="0.2">
      <c r="B106"/>
      <c r="C106"/>
      <c r="D106"/>
      <c r="E106"/>
      <c r="F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U106" s="1">
        <f t="shared" si="2"/>
        <v>0</v>
      </c>
    </row>
    <row r="107" spans="2:21" x14ac:dyDescent="0.2">
      <c r="B107"/>
      <c r="C107"/>
      <c r="D107"/>
      <c r="E107"/>
      <c r="F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U107" s="1">
        <f t="shared" si="2"/>
        <v>0</v>
      </c>
    </row>
    <row r="108" spans="2:21" x14ac:dyDescent="0.2">
      <c r="B108"/>
      <c r="C108"/>
      <c r="D108"/>
      <c r="E108"/>
      <c r="F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U108" s="1">
        <f t="shared" si="2"/>
        <v>0</v>
      </c>
    </row>
    <row r="109" spans="2:21" x14ac:dyDescent="0.2">
      <c r="B109"/>
      <c r="C109"/>
      <c r="D109"/>
      <c r="E109"/>
      <c r="F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U109" s="1">
        <f t="shared" si="2"/>
        <v>0</v>
      </c>
    </row>
    <row r="110" spans="2:21" x14ac:dyDescent="0.2">
      <c r="B110"/>
      <c r="C110"/>
      <c r="D110"/>
      <c r="E110"/>
      <c r="F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U110" s="1">
        <f t="shared" si="2"/>
        <v>0</v>
      </c>
    </row>
    <row r="111" spans="2:21" x14ac:dyDescent="0.2">
      <c r="B111"/>
      <c r="C111"/>
      <c r="D111"/>
      <c r="E111"/>
      <c r="F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U111" s="1">
        <f t="shared" si="2"/>
        <v>0</v>
      </c>
    </row>
    <row r="112" spans="2:21" x14ac:dyDescent="0.2">
      <c r="B112"/>
      <c r="C112"/>
      <c r="D112"/>
      <c r="E112"/>
      <c r="F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U112" s="1">
        <f t="shared" si="2"/>
        <v>0</v>
      </c>
    </row>
    <row r="113" spans="2:21" x14ac:dyDescent="0.2">
      <c r="B113"/>
      <c r="C113"/>
      <c r="D113"/>
      <c r="E113"/>
      <c r="F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U113" s="1">
        <f t="shared" si="2"/>
        <v>0</v>
      </c>
    </row>
    <row r="114" spans="2:21" x14ac:dyDescent="0.2">
      <c r="B114"/>
      <c r="C114"/>
      <c r="D114"/>
      <c r="E114"/>
      <c r="F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U114" s="1">
        <f t="shared" si="2"/>
        <v>0</v>
      </c>
    </row>
    <row r="115" spans="2:21" x14ac:dyDescent="0.2">
      <c r="B115"/>
      <c r="C115"/>
      <c r="D115"/>
      <c r="E115"/>
      <c r="F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U115" s="1">
        <f t="shared" si="2"/>
        <v>0</v>
      </c>
    </row>
    <row r="116" spans="2:21" x14ac:dyDescent="0.2">
      <c r="B116"/>
      <c r="C116"/>
      <c r="D116"/>
      <c r="E116"/>
      <c r="F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U116" s="1">
        <f t="shared" si="2"/>
        <v>0</v>
      </c>
    </row>
    <row r="117" spans="2:21" x14ac:dyDescent="0.2">
      <c r="B117"/>
      <c r="C117"/>
      <c r="D117"/>
      <c r="E117"/>
      <c r="F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U117" s="1">
        <f t="shared" si="2"/>
        <v>0</v>
      </c>
    </row>
    <row r="118" spans="2:21" x14ac:dyDescent="0.2">
      <c r="B118"/>
      <c r="C118"/>
      <c r="D118"/>
      <c r="E118"/>
      <c r="F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U118" s="1">
        <f t="shared" si="2"/>
        <v>0</v>
      </c>
    </row>
    <row r="119" spans="2:21" x14ac:dyDescent="0.2">
      <c r="B119"/>
      <c r="C119"/>
      <c r="D119"/>
      <c r="E119"/>
      <c r="F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U119" s="1">
        <f t="shared" si="2"/>
        <v>0</v>
      </c>
    </row>
    <row r="120" spans="2:21" x14ac:dyDescent="0.2">
      <c r="B120"/>
      <c r="C120"/>
      <c r="D120"/>
      <c r="E120"/>
      <c r="F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U120" s="1">
        <f t="shared" si="2"/>
        <v>0</v>
      </c>
    </row>
    <row r="121" spans="2:21" x14ac:dyDescent="0.2">
      <c r="B121"/>
      <c r="C121"/>
      <c r="D121"/>
      <c r="E121"/>
      <c r="F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U121" s="1">
        <f t="shared" si="2"/>
        <v>0</v>
      </c>
    </row>
    <row r="122" spans="2:21" x14ac:dyDescent="0.2">
      <c r="B122"/>
      <c r="C122"/>
      <c r="D122"/>
      <c r="E122"/>
      <c r="F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U122" s="1">
        <f t="shared" si="2"/>
        <v>0</v>
      </c>
    </row>
    <row r="123" spans="2:21" x14ac:dyDescent="0.2">
      <c r="B123"/>
      <c r="C123"/>
      <c r="D123"/>
      <c r="E123"/>
      <c r="F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U123" s="1">
        <f t="shared" si="2"/>
        <v>0</v>
      </c>
    </row>
    <row r="124" spans="2:21" x14ac:dyDescent="0.2">
      <c r="B124"/>
      <c r="C124"/>
      <c r="D124"/>
      <c r="E124"/>
      <c r="F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U124" s="1">
        <f t="shared" si="2"/>
        <v>0</v>
      </c>
    </row>
    <row r="125" spans="2:21" x14ac:dyDescent="0.2">
      <c r="B125"/>
      <c r="C125"/>
      <c r="D125"/>
      <c r="E125"/>
      <c r="F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U125" s="1">
        <f t="shared" si="2"/>
        <v>0</v>
      </c>
    </row>
    <row r="126" spans="2:21" x14ac:dyDescent="0.2">
      <c r="B126"/>
      <c r="C126"/>
      <c r="D126"/>
      <c r="E126"/>
      <c r="F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U126" s="1">
        <f t="shared" si="2"/>
        <v>0</v>
      </c>
    </row>
    <row r="127" spans="2:21" x14ac:dyDescent="0.2">
      <c r="B127"/>
      <c r="C127"/>
      <c r="D127"/>
      <c r="E127"/>
      <c r="F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U127" s="1">
        <f t="shared" si="2"/>
        <v>0</v>
      </c>
    </row>
    <row r="128" spans="2:21" x14ac:dyDescent="0.2">
      <c r="B128"/>
      <c r="C128"/>
      <c r="D128"/>
      <c r="E128"/>
      <c r="F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U128" s="1">
        <f t="shared" si="2"/>
        <v>0</v>
      </c>
    </row>
    <row r="129" spans="2:21" x14ac:dyDescent="0.2">
      <c r="B129"/>
      <c r="C129"/>
      <c r="D129"/>
      <c r="E129"/>
      <c r="F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U129" s="1">
        <f t="shared" si="2"/>
        <v>0</v>
      </c>
    </row>
    <row r="130" spans="2:21" x14ac:dyDescent="0.2">
      <c r="B130"/>
      <c r="C130"/>
      <c r="D130"/>
      <c r="E130"/>
      <c r="F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U130" s="1">
        <f t="shared" si="2"/>
        <v>0</v>
      </c>
    </row>
    <row r="131" spans="2:21" x14ac:dyDescent="0.2">
      <c r="B131"/>
      <c r="C131"/>
      <c r="D131"/>
      <c r="E131"/>
      <c r="F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U132" s="1">
        <f t="shared" si="3"/>
        <v>0</v>
      </c>
    </row>
    <row r="133" spans="2:21" x14ac:dyDescent="0.2">
      <c r="B133"/>
      <c r="C133"/>
      <c r="D133"/>
      <c r="E133"/>
      <c r="F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U133" s="1">
        <f t="shared" si="3"/>
        <v>0</v>
      </c>
    </row>
    <row r="134" spans="2:21" x14ac:dyDescent="0.2">
      <c r="B134"/>
      <c r="C134"/>
      <c r="D134"/>
      <c r="E134"/>
      <c r="F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U134" s="1">
        <f t="shared" si="3"/>
        <v>0</v>
      </c>
    </row>
    <row r="135" spans="2:21" x14ac:dyDescent="0.2">
      <c r="B135"/>
      <c r="C135"/>
      <c r="D135"/>
      <c r="E135"/>
      <c r="F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U135" s="1">
        <f t="shared" si="3"/>
        <v>0</v>
      </c>
    </row>
    <row r="136" spans="2:21" x14ac:dyDescent="0.2">
      <c r="B136"/>
      <c r="C136"/>
      <c r="D136"/>
      <c r="E136"/>
      <c r="F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U136" s="1">
        <f t="shared" si="3"/>
        <v>0</v>
      </c>
    </row>
    <row r="137" spans="2:21" x14ac:dyDescent="0.2">
      <c r="B137"/>
      <c r="C137"/>
      <c r="D137"/>
      <c r="E137"/>
      <c r="F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U137" s="1">
        <f t="shared" si="3"/>
        <v>0</v>
      </c>
    </row>
    <row r="138" spans="2:21" x14ac:dyDescent="0.2">
      <c r="B138"/>
      <c r="C138"/>
      <c r="D138"/>
      <c r="E138"/>
      <c r="F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U138" s="1">
        <f t="shared" si="3"/>
        <v>0</v>
      </c>
    </row>
    <row r="139" spans="2:21" x14ac:dyDescent="0.2">
      <c r="B139"/>
      <c r="C139"/>
      <c r="D139"/>
      <c r="E139"/>
      <c r="F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U139" s="1">
        <f t="shared" si="3"/>
        <v>0</v>
      </c>
    </row>
    <row r="140" spans="2:21" x14ac:dyDescent="0.2">
      <c r="B140"/>
      <c r="C140"/>
      <c r="D140"/>
      <c r="E140"/>
      <c r="F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U140" s="1">
        <f t="shared" si="3"/>
        <v>0</v>
      </c>
    </row>
    <row r="141" spans="2:21" x14ac:dyDescent="0.2">
      <c r="B141"/>
      <c r="C141"/>
      <c r="D141"/>
      <c r="E141"/>
      <c r="F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U141" s="1">
        <f t="shared" si="3"/>
        <v>0</v>
      </c>
    </row>
    <row r="142" spans="2:21" x14ac:dyDescent="0.2">
      <c r="B142"/>
      <c r="C142"/>
      <c r="D142"/>
      <c r="E142"/>
      <c r="F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U142" s="1">
        <f t="shared" si="3"/>
        <v>0</v>
      </c>
    </row>
    <row r="143" spans="2:21" x14ac:dyDescent="0.2">
      <c r="B143"/>
      <c r="C143"/>
      <c r="D143"/>
      <c r="E143"/>
      <c r="F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U143" s="1">
        <f t="shared" si="3"/>
        <v>0</v>
      </c>
    </row>
    <row r="144" spans="2:21" x14ac:dyDescent="0.2">
      <c r="B144"/>
      <c r="C144"/>
      <c r="D144"/>
      <c r="E144"/>
      <c r="F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U144" s="1">
        <f t="shared" si="3"/>
        <v>0</v>
      </c>
    </row>
    <row r="145" spans="2:21" x14ac:dyDescent="0.2">
      <c r="B145"/>
      <c r="C145"/>
      <c r="D145"/>
      <c r="E145"/>
      <c r="F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U145" s="1">
        <f t="shared" si="3"/>
        <v>0</v>
      </c>
    </row>
    <row r="146" spans="2:21" x14ac:dyDescent="0.2">
      <c r="B146"/>
      <c r="C146"/>
      <c r="D146"/>
      <c r="E146"/>
      <c r="F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U146" s="1">
        <f t="shared" si="3"/>
        <v>0</v>
      </c>
    </row>
    <row r="147" spans="2:21" x14ac:dyDescent="0.2">
      <c r="B147"/>
      <c r="C147"/>
      <c r="D147"/>
      <c r="E147"/>
      <c r="F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U147" s="1">
        <f t="shared" si="3"/>
        <v>0</v>
      </c>
    </row>
    <row r="148" spans="2:21" x14ac:dyDescent="0.2">
      <c r="B148"/>
      <c r="C148"/>
      <c r="D148"/>
      <c r="E148"/>
      <c r="F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U148" s="1">
        <f t="shared" si="3"/>
        <v>0</v>
      </c>
    </row>
    <row r="149" spans="2:21" x14ac:dyDescent="0.2">
      <c r="B149"/>
      <c r="C149"/>
      <c r="D149"/>
      <c r="E149"/>
      <c r="F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U149" s="1">
        <f t="shared" si="3"/>
        <v>0</v>
      </c>
    </row>
    <row r="150" spans="2:21" x14ac:dyDescent="0.2">
      <c r="B150"/>
      <c r="C150"/>
      <c r="D150"/>
      <c r="E150"/>
      <c r="F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U150" s="1">
        <f t="shared" si="3"/>
        <v>0</v>
      </c>
    </row>
    <row r="151" spans="2:21" x14ac:dyDescent="0.2">
      <c r="B151"/>
      <c r="C151"/>
      <c r="D151"/>
      <c r="E151"/>
      <c r="F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U151" s="1">
        <f t="shared" si="3"/>
        <v>0</v>
      </c>
    </row>
    <row r="152" spans="2:21" x14ac:dyDescent="0.2">
      <c r="B152"/>
      <c r="C152"/>
      <c r="D152"/>
      <c r="E152"/>
      <c r="F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U152" s="1">
        <f t="shared" si="3"/>
        <v>0</v>
      </c>
    </row>
    <row r="153" spans="2:21" x14ac:dyDescent="0.2">
      <c r="B153"/>
      <c r="C153"/>
      <c r="D153"/>
      <c r="E153"/>
      <c r="F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U153" s="1">
        <f t="shared" si="3"/>
        <v>0</v>
      </c>
    </row>
    <row r="154" spans="2:21" x14ac:dyDescent="0.2">
      <c r="B154"/>
      <c r="C154"/>
      <c r="D154"/>
      <c r="E154"/>
      <c r="F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U154" s="1">
        <f t="shared" si="3"/>
        <v>0</v>
      </c>
    </row>
    <row r="155" spans="2:21" x14ac:dyDescent="0.2">
      <c r="B155"/>
      <c r="C155"/>
      <c r="D155"/>
      <c r="E155"/>
      <c r="F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U155" s="1">
        <f t="shared" si="3"/>
        <v>0</v>
      </c>
    </row>
    <row r="156" spans="2:21" x14ac:dyDescent="0.2">
      <c r="B156"/>
      <c r="C156"/>
      <c r="D156"/>
      <c r="E156"/>
      <c r="F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U156" s="1">
        <f t="shared" si="3"/>
        <v>0</v>
      </c>
    </row>
    <row r="157" spans="2:21" x14ac:dyDescent="0.2">
      <c r="B157"/>
      <c r="C157"/>
      <c r="D157"/>
      <c r="E157"/>
      <c r="F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U157" s="1">
        <f t="shared" si="3"/>
        <v>0</v>
      </c>
    </row>
    <row r="158" spans="2:21" x14ac:dyDescent="0.2">
      <c r="B158"/>
      <c r="C158"/>
      <c r="D158"/>
      <c r="E158"/>
      <c r="F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U158" s="1">
        <f t="shared" si="3"/>
        <v>0</v>
      </c>
    </row>
    <row r="159" spans="2:21" x14ac:dyDescent="0.2">
      <c r="B159"/>
      <c r="C159"/>
      <c r="D159"/>
      <c r="E159"/>
      <c r="F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U159" s="1">
        <f t="shared" si="3"/>
        <v>0</v>
      </c>
    </row>
    <row r="160" spans="2:21" x14ac:dyDescent="0.2">
      <c r="B160"/>
      <c r="C160"/>
      <c r="D160"/>
      <c r="E160"/>
      <c r="F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U160" s="1">
        <f t="shared" si="3"/>
        <v>0</v>
      </c>
    </row>
    <row r="161" spans="2:21" x14ac:dyDescent="0.2">
      <c r="B161"/>
      <c r="C161"/>
      <c r="D161"/>
      <c r="E161"/>
      <c r="F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U161" s="1">
        <f t="shared" si="3"/>
        <v>0</v>
      </c>
    </row>
    <row r="162" spans="2:21" x14ac:dyDescent="0.2">
      <c r="B162"/>
      <c r="C162"/>
      <c r="D162"/>
      <c r="E162"/>
      <c r="F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U162" s="1">
        <f t="shared" si="3"/>
        <v>0</v>
      </c>
    </row>
    <row r="163" spans="2:21" x14ac:dyDescent="0.2">
      <c r="B163"/>
      <c r="C163"/>
      <c r="D163"/>
      <c r="E163"/>
      <c r="F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U163" s="1">
        <f t="shared" si="3"/>
        <v>0</v>
      </c>
    </row>
    <row r="164" spans="2:21" x14ac:dyDescent="0.2">
      <c r="B164"/>
      <c r="C164"/>
      <c r="D164"/>
      <c r="E164"/>
      <c r="F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U164" s="1">
        <f t="shared" si="3"/>
        <v>0</v>
      </c>
    </row>
    <row r="165" spans="2:21" x14ac:dyDescent="0.2">
      <c r="B165"/>
      <c r="C165"/>
      <c r="D165"/>
      <c r="E165"/>
      <c r="F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U165" s="1">
        <f t="shared" si="3"/>
        <v>0</v>
      </c>
    </row>
    <row r="166" spans="2:21" x14ac:dyDescent="0.2">
      <c r="B166"/>
      <c r="C166"/>
      <c r="D166"/>
      <c r="E166"/>
      <c r="F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U166" s="1">
        <f t="shared" si="3"/>
        <v>0</v>
      </c>
    </row>
    <row r="167" spans="2:21" x14ac:dyDescent="0.2">
      <c r="B167"/>
      <c r="C167"/>
      <c r="D167"/>
      <c r="E167"/>
      <c r="F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U167" s="1">
        <f t="shared" si="3"/>
        <v>0</v>
      </c>
    </row>
    <row r="168" spans="2:21" x14ac:dyDescent="0.2">
      <c r="B168"/>
      <c r="C168"/>
      <c r="D168"/>
      <c r="E168"/>
      <c r="F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U168" s="1">
        <f t="shared" si="3"/>
        <v>0</v>
      </c>
    </row>
    <row r="169" spans="2:21" x14ac:dyDescent="0.2">
      <c r="B169"/>
      <c r="C169"/>
      <c r="D169"/>
      <c r="E169"/>
      <c r="F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U169" s="1">
        <f t="shared" si="3"/>
        <v>0</v>
      </c>
    </row>
    <row r="170" spans="2:21" x14ac:dyDescent="0.2">
      <c r="B170"/>
      <c r="C170"/>
      <c r="D170"/>
      <c r="E170"/>
      <c r="F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U170" s="1">
        <f t="shared" si="3"/>
        <v>0</v>
      </c>
    </row>
    <row r="171" spans="2:21" x14ac:dyDescent="0.2">
      <c r="B171"/>
      <c r="C171"/>
      <c r="D171"/>
      <c r="E171"/>
      <c r="F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U171" s="1">
        <f t="shared" si="3"/>
        <v>0</v>
      </c>
    </row>
    <row r="172" spans="2:21" x14ac:dyDescent="0.2">
      <c r="B172"/>
      <c r="C172"/>
      <c r="D172"/>
      <c r="E172"/>
      <c r="F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U172" s="1">
        <f t="shared" si="3"/>
        <v>0</v>
      </c>
    </row>
    <row r="173" spans="2:21" x14ac:dyDescent="0.2">
      <c r="B173"/>
      <c r="C173"/>
      <c r="D173"/>
      <c r="E173"/>
      <c r="F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U173" s="1">
        <f t="shared" si="3"/>
        <v>0</v>
      </c>
    </row>
    <row r="174" spans="2:21" x14ac:dyDescent="0.2">
      <c r="B174"/>
      <c r="C174"/>
      <c r="D174"/>
      <c r="E174"/>
      <c r="F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U174" s="1">
        <f t="shared" si="3"/>
        <v>0</v>
      </c>
    </row>
    <row r="175" spans="2:21" x14ac:dyDescent="0.2">
      <c r="B175"/>
      <c r="C175"/>
      <c r="D175"/>
      <c r="E175"/>
      <c r="F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U175" s="1">
        <f t="shared" si="3"/>
        <v>0</v>
      </c>
    </row>
    <row r="176" spans="2:21" x14ac:dyDescent="0.2">
      <c r="B176"/>
      <c r="C176"/>
      <c r="D176"/>
      <c r="E176"/>
      <c r="F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U176" s="1">
        <f t="shared" si="3"/>
        <v>0</v>
      </c>
    </row>
    <row r="177" spans="2:21" x14ac:dyDescent="0.2">
      <c r="B177"/>
      <c r="C177"/>
      <c r="D177"/>
      <c r="E177"/>
      <c r="F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U177" s="1">
        <f t="shared" si="3"/>
        <v>0</v>
      </c>
    </row>
    <row r="178" spans="2:21" x14ac:dyDescent="0.2">
      <c r="B178"/>
      <c r="C178"/>
      <c r="D178"/>
      <c r="E178"/>
      <c r="F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U178" s="1">
        <f t="shared" si="3"/>
        <v>0</v>
      </c>
    </row>
    <row r="179" spans="2:21" x14ac:dyDescent="0.2">
      <c r="B179"/>
      <c r="C179"/>
      <c r="D179"/>
      <c r="E179"/>
      <c r="F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U179" s="1">
        <f t="shared" si="3"/>
        <v>0</v>
      </c>
    </row>
    <row r="180" spans="2:21" x14ac:dyDescent="0.2">
      <c r="B180"/>
      <c r="C180"/>
      <c r="D180"/>
      <c r="E180"/>
      <c r="F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U180" s="1">
        <f t="shared" si="3"/>
        <v>0</v>
      </c>
    </row>
    <row r="181" spans="2:21" x14ac:dyDescent="0.2">
      <c r="B181"/>
      <c r="C181"/>
      <c r="D181"/>
      <c r="E181"/>
      <c r="F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U181" s="1">
        <f t="shared" si="3"/>
        <v>0</v>
      </c>
    </row>
    <row r="182" spans="2:21" x14ac:dyDescent="0.2">
      <c r="B182"/>
      <c r="C182"/>
      <c r="D182"/>
      <c r="E182"/>
      <c r="F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U182" s="1">
        <f t="shared" si="3"/>
        <v>0</v>
      </c>
    </row>
    <row r="183" spans="2:21" x14ac:dyDescent="0.2">
      <c r="B183"/>
      <c r="C183"/>
      <c r="D183"/>
      <c r="E183"/>
      <c r="F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U183" s="1">
        <f t="shared" si="3"/>
        <v>0</v>
      </c>
    </row>
    <row r="184" spans="2:21" x14ac:dyDescent="0.2">
      <c r="B184"/>
      <c r="C184"/>
      <c r="D184"/>
      <c r="E184"/>
      <c r="F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U184" s="1">
        <f t="shared" si="3"/>
        <v>0</v>
      </c>
    </row>
    <row r="185" spans="2:21" x14ac:dyDescent="0.2">
      <c r="B185"/>
      <c r="C185"/>
      <c r="D185"/>
      <c r="E185"/>
      <c r="F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U185" s="1">
        <f t="shared" si="3"/>
        <v>0</v>
      </c>
    </row>
    <row r="186" spans="2:21" x14ac:dyDescent="0.2">
      <c r="B186"/>
      <c r="C186"/>
      <c r="D186"/>
      <c r="E186"/>
      <c r="F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U186" s="1">
        <f t="shared" si="3"/>
        <v>0</v>
      </c>
    </row>
    <row r="187" spans="2:21" x14ac:dyDescent="0.2">
      <c r="B187"/>
      <c r="C187"/>
      <c r="D187"/>
      <c r="E187"/>
      <c r="F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U187" s="1">
        <f t="shared" si="3"/>
        <v>0</v>
      </c>
    </row>
    <row r="188" spans="2:21" x14ac:dyDescent="0.2">
      <c r="B188"/>
      <c r="C188"/>
      <c r="D188"/>
      <c r="E188"/>
      <c r="F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U188" s="1">
        <f t="shared" si="3"/>
        <v>0</v>
      </c>
    </row>
    <row r="189" spans="2:21" x14ac:dyDescent="0.2">
      <c r="B189"/>
      <c r="C189"/>
      <c r="D189"/>
      <c r="E189"/>
      <c r="F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U189" s="1">
        <f t="shared" si="3"/>
        <v>0</v>
      </c>
    </row>
    <row r="190" spans="2:21" x14ac:dyDescent="0.2">
      <c r="B190"/>
      <c r="C190"/>
      <c r="D190"/>
      <c r="E190"/>
      <c r="F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U190" s="1">
        <f t="shared" si="3"/>
        <v>0</v>
      </c>
    </row>
    <row r="191" spans="2:21" x14ac:dyDescent="0.2">
      <c r="B191"/>
      <c r="C191"/>
      <c r="D191"/>
      <c r="E191"/>
      <c r="F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U191" s="1">
        <f t="shared" si="3"/>
        <v>0</v>
      </c>
    </row>
    <row r="192" spans="2:21" x14ac:dyDescent="0.2">
      <c r="B192"/>
      <c r="C192"/>
      <c r="D192"/>
      <c r="E192"/>
      <c r="F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U192" s="1">
        <f t="shared" si="3"/>
        <v>0</v>
      </c>
    </row>
    <row r="193" spans="2:21" x14ac:dyDescent="0.2">
      <c r="B193"/>
      <c r="C193"/>
      <c r="D193"/>
      <c r="E193"/>
      <c r="F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U193" s="1">
        <f t="shared" si="3"/>
        <v>0</v>
      </c>
    </row>
    <row r="194" spans="2:21" x14ac:dyDescent="0.2">
      <c r="B194"/>
      <c r="C194"/>
      <c r="D194"/>
      <c r="E194"/>
      <c r="F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U194" s="1">
        <f t="shared" si="3"/>
        <v>0</v>
      </c>
    </row>
    <row r="195" spans="2:21" x14ac:dyDescent="0.2">
      <c r="B195"/>
      <c r="C195"/>
      <c r="D195"/>
      <c r="E195"/>
      <c r="F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U196" s="1">
        <f t="shared" si="4"/>
        <v>0</v>
      </c>
    </row>
    <row r="197" spans="2:21" x14ac:dyDescent="0.2">
      <c r="B197"/>
      <c r="C197"/>
      <c r="D197"/>
      <c r="E197"/>
      <c r="F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U197" s="1">
        <f t="shared" si="4"/>
        <v>0</v>
      </c>
    </row>
    <row r="198" spans="2:21" x14ac:dyDescent="0.2">
      <c r="B198"/>
      <c r="C198"/>
      <c r="D198"/>
      <c r="E198"/>
      <c r="F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U198" s="1">
        <f t="shared" si="4"/>
        <v>0</v>
      </c>
    </row>
    <row r="199" spans="2:21" x14ac:dyDescent="0.2">
      <c r="B199"/>
      <c r="C199"/>
      <c r="D199"/>
      <c r="E199"/>
      <c r="F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U199" s="1">
        <f t="shared" si="4"/>
        <v>0</v>
      </c>
    </row>
    <row r="200" spans="2:21" x14ac:dyDescent="0.2">
      <c r="B200"/>
      <c r="C200"/>
      <c r="D200"/>
      <c r="E200"/>
      <c r="F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U200" s="1">
        <f t="shared" si="4"/>
        <v>0</v>
      </c>
    </row>
    <row r="201" spans="2:21" x14ac:dyDescent="0.2">
      <c r="B201"/>
      <c r="C201"/>
      <c r="D201"/>
      <c r="E201"/>
      <c r="F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U201" s="1">
        <f t="shared" si="4"/>
        <v>0</v>
      </c>
    </row>
    <row r="202" spans="2:21" x14ac:dyDescent="0.2">
      <c r="B202"/>
      <c r="C202"/>
      <c r="D202"/>
      <c r="E202"/>
      <c r="F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U202" s="1">
        <f t="shared" si="4"/>
        <v>0</v>
      </c>
    </row>
    <row r="203" spans="2:21" x14ac:dyDescent="0.2">
      <c r="B203"/>
      <c r="C203"/>
      <c r="D203"/>
      <c r="E203"/>
      <c r="F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U203" s="1">
        <f t="shared" si="4"/>
        <v>0</v>
      </c>
    </row>
    <row r="204" spans="2:21" x14ac:dyDescent="0.2">
      <c r="B204"/>
      <c r="C204"/>
      <c r="D204"/>
      <c r="E204"/>
      <c r="F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U204" s="1">
        <f t="shared" si="4"/>
        <v>0</v>
      </c>
    </row>
    <row r="205" spans="2:21" x14ac:dyDescent="0.2">
      <c r="B205"/>
      <c r="C205"/>
      <c r="D205"/>
      <c r="E205"/>
      <c r="F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U205" s="1">
        <f t="shared" si="4"/>
        <v>0</v>
      </c>
    </row>
    <row r="206" spans="2:21" x14ac:dyDescent="0.2">
      <c r="B206"/>
      <c r="C206"/>
      <c r="D206"/>
      <c r="E206"/>
      <c r="F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U206" s="1">
        <f t="shared" si="4"/>
        <v>0</v>
      </c>
    </row>
    <row r="207" spans="2:21" x14ac:dyDescent="0.2">
      <c r="B207"/>
      <c r="C207"/>
      <c r="D207"/>
      <c r="E207"/>
      <c r="F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U207" s="1">
        <f t="shared" si="4"/>
        <v>0</v>
      </c>
    </row>
    <row r="208" spans="2:21" x14ac:dyDescent="0.2">
      <c r="B208"/>
      <c r="C208"/>
      <c r="D208"/>
      <c r="E208"/>
      <c r="F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U208" s="1">
        <f t="shared" si="4"/>
        <v>0</v>
      </c>
    </row>
    <row r="209" spans="2:21" x14ac:dyDescent="0.2">
      <c r="B209"/>
      <c r="C209"/>
      <c r="D209"/>
      <c r="E209"/>
      <c r="F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U209" s="1">
        <f t="shared" si="4"/>
        <v>0</v>
      </c>
    </row>
    <row r="210" spans="2:21" x14ac:dyDescent="0.2">
      <c r="B210"/>
      <c r="C210"/>
      <c r="D210"/>
      <c r="E210"/>
      <c r="F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U210" s="1">
        <f t="shared" si="4"/>
        <v>0</v>
      </c>
    </row>
    <row r="211" spans="2:21" x14ac:dyDescent="0.2">
      <c r="B211"/>
      <c r="C211"/>
      <c r="D211"/>
      <c r="E211"/>
      <c r="F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U211" s="1">
        <f t="shared" si="4"/>
        <v>0</v>
      </c>
    </row>
    <row r="212" spans="2:21" x14ac:dyDescent="0.2">
      <c r="B212"/>
      <c r="C212"/>
      <c r="D212"/>
      <c r="E212"/>
      <c r="F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U212" s="1">
        <f t="shared" si="4"/>
        <v>0</v>
      </c>
    </row>
    <row r="213" spans="2:21" x14ac:dyDescent="0.2">
      <c r="B213"/>
      <c r="C213"/>
      <c r="D213"/>
      <c r="E213"/>
      <c r="F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U213" s="1">
        <f t="shared" si="4"/>
        <v>0</v>
      </c>
    </row>
    <row r="214" spans="2:21" x14ac:dyDescent="0.2">
      <c r="B214"/>
      <c r="C214"/>
      <c r="D214"/>
      <c r="E214"/>
      <c r="F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U214" s="1">
        <f t="shared" si="4"/>
        <v>0</v>
      </c>
    </row>
    <row r="215" spans="2:21" x14ac:dyDescent="0.2">
      <c r="B215"/>
      <c r="C215"/>
      <c r="D215"/>
      <c r="E215"/>
      <c r="F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U215" s="1">
        <f t="shared" si="4"/>
        <v>0</v>
      </c>
    </row>
    <row r="216" spans="2:21" x14ac:dyDescent="0.2">
      <c r="B216"/>
      <c r="C216"/>
      <c r="D216"/>
      <c r="E216"/>
      <c r="F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U216" s="1">
        <f t="shared" si="4"/>
        <v>0</v>
      </c>
    </row>
    <row r="217" spans="2:21" x14ac:dyDescent="0.2">
      <c r="B217"/>
      <c r="C217"/>
      <c r="D217"/>
      <c r="E217"/>
      <c r="F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U217" s="1">
        <f t="shared" si="4"/>
        <v>0</v>
      </c>
    </row>
    <row r="218" spans="2:21" x14ac:dyDescent="0.2">
      <c r="B218"/>
      <c r="C218"/>
      <c r="D218"/>
      <c r="E218"/>
      <c r="F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U218" s="1">
        <f t="shared" si="4"/>
        <v>0</v>
      </c>
    </row>
    <row r="219" spans="2:21" x14ac:dyDescent="0.2">
      <c r="B219"/>
      <c r="C219"/>
      <c r="D219"/>
      <c r="E219"/>
      <c r="F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U219" s="1">
        <f t="shared" si="4"/>
        <v>0</v>
      </c>
    </row>
    <row r="220" spans="2:21" x14ac:dyDescent="0.2">
      <c r="B220"/>
      <c r="C220"/>
      <c r="D220"/>
      <c r="E220"/>
      <c r="F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U220" s="1">
        <f t="shared" si="4"/>
        <v>0</v>
      </c>
    </row>
    <row r="221" spans="2:21" x14ac:dyDescent="0.2">
      <c r="B221"/>
      <c r="C221"/>
      <c r="D221"/>
      <c r="E221"/>
      <c r="F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U221" s="1">
        <f t="shared" si="4"/>
        <v>0</v>
      </c>
    </row>
    <row r="222" spans="2:21" x14ac:dyDescent="0.2">
      <c r="B222"/>
      <c r="C222"/>
      <c r="D222"/>
      <c r="E222"/>
      <c r="F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U222" s="1">
        <f t="shared" si="4"/>
        <v>0</v>
      </c>
    </row>
    <row r="223" spans="2:21" x14ac:dyDescent="0.2">
      <c r="B223"/>
      <c r="C223"/>
      <c r="D223"/>
      <c r="E223"/>
      <c r="F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U223" s="1">
        <f t="shared" si="4"/>
        <v>0</v>
      </c>
    </row>
    <row r="224" spans="2:21" x14ac:dyDescent="0.2">
      <c r="B224"/>
      <c r="C224"/>
      <c r="D224"/>
      <c r="E224"/>
      <c r="F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U224" s="1">
        <f t="shared" si="4"/>
        <v>0</v>
      </c>
    </row>
    <row r="225" spans="2:21" x14ac:dyDescent="0.2">
      <c r="B225"/>
      <c r="C225"/>
      <c r="D225"/>
      <c r="E225"/>
      <c r="F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U225" s="1">
        <f t="shared" si="4"/>
        <v>0</v>
      </c>
    </row>
    <row r="226" spans="2:21" x14ac:dyDescent="0.2">
      <c r="B226"/>
      <c r="C226"/>
      <c r="D226"/>
      <c r="E226"/>
      <c r="F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U226" s="1">
        <f t="shared" si="4"/>
        <v>0</v>
      </c>
    </row>
    <row r="227" spans="2:21" x14ac:dyDescent="0.2">
      <c r="B227"/>
      <c r="C227"/>
      <c r="D227"/>
      <c r="E227"/>
      <c r="F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U227" s="1">
        <f t="shared" si="4"/>
        <v>0</v>
      </c>
    </row>
    <row r="228" spans="2:21" x14ac:dyDescent="0.2">
      <c r="B228"/>
      <c r="C228"/>
      <c r="D228"/>
      <c r="E228"/>
      <c r="F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U228" s="1">
        <f t="shared" si="4"/>
        <v>0</v>
      </c>
    </row>
    <row r="229" spans="2:21" x14ac:dyDescent="0.2">
      <c r="B229"/>
      <c r="C229"/>
      <c r="D229"/>
      <c r="E229"/>
      <c r="F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U229" s="1">
        <f t="shared" si="4"/>
        <v>0</v>
      </c>
    </row>
    <row r="230" spans="2:21" x14ac:dyDescent="0.2">
      <c r="B230"/>
      <c r="C230"/>
      <c r="D230"/>
      <c r="E230"/>
      <c r="F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U230" s="1">
        <f t="shared" si="4"/>
        <v>0</v>
      </c>
    </row>
    <row r="231" spans="2:21" x14ac:dyDescent="0.2">
      <c r="B231"/>
      <c r="C231"/>
      <c r="D231"/>
      <c r="E231"/>
      <c r="F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U231" s="1">
        <f t="shared" si="4"/>
        <v>0</v>
      </c>
    </row>
    <row r="232" spans="2:21" x14ac:dyDescent="0.2">
      <c r="B232"/>
      <c r="C232"/>
      <c r="D232"/>
      <c r="E232"/>
      <c r="F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U232" s="1">
        <f t="shared" si="4"/>
        <v>0</v>
      </c>
    </row>
    <row r="233" spans="2:21" x14ac:dyDescent="0.2">
      <c r="B233"/>
      <c r="C233"/>
      <c r="D233"/>
      <c r="E233"/>
      <c r="F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U233" s="1">
        <f t="shared" si="4"/>
        <v>0</v>
      </c>
    </row>
    <row r="234" spans="2:21" x14ac:dyDescent="0.2">
      <c r="B234"/>
      <c r="C234"/>
      <c r="D234"/>
      <c r="E234"/>
      <c r="F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U234" s="1">
        <f t="shared" si="4"/>
        <v>0</v>
      </c>
    </row>
    <row r="235" spans="2:21" x14ac:dyDescent="0.2">
      <c r="B235"/>
      <c r="C235"/>
      <c r="D235"/>
      <c r="E235"/>
      <c r="F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U235" s="1">
        <f t="shared" si="4"/>
        <v>0</v>
      </c>
    </row>
    <row r="236" spans="2:21" x14ac:dyDescent="0.2">
      <c r="B236"/>
      <c r="C236"/>
      <c r="D236"/>
      <c r="E236"/>
      <c r="F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U236" s="1">
        <f t="shared" si="4"/>
        <v>0</v>
      </c>
    </row>
    <row r="237" spans="2:21" x14ac:dyDescent="0.2">
      <c r="B237"/>
      <c r="C237"/>
      <c r="D237"/>
      <c r="E237"/>
      <c r="F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U237" s="1">
        <f t="shared" si="4"/>
        <v>0</v>
      </c>
    </row>
    <row r="238" spans="2:21" x14ac:dyDescent="0.2">
      <c r="B238"/>
      <c r="C238"/>
      <c r="D238"/>
      <c r="E238"/>
      <c r="F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U238" s="1">
        <f t="shared" si="4"/>
        <v>0</v>
      </c>
    </row>
    <row r="239" spans="2:21" x14ac:dyDescent="0.2">
      <c r="B239"/>
      <c r="C239"/>
      <c r="D239"/>
      <c r="E239"/>
      <c r="F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U239" s="1">
        <f t="shared" si="4"/>
        <v>0</v>
      </c>
    </row>
    <row r="240" spans="2:21" x14ac:dyDescent="0.2">
      <c r="B240"/>
      <c r="C240"/>
      <c r="D240"/>
      <c r="E240"/>
      <c r="F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U240" s="1">
        <f t="shared" si="4"/>
        <v>0</v>
      </c>
    </row>
    <row r="241" spans="2:21" x14ac:dyDescent="0.2">
      <c r="B241"/>
      <c r="C241"/>
      <c r="D241"/>
      <c r="E241"/>
      <c r="F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U241" s="1">
        <f t="shared" si="4"/>
        <v>0</v>
      </c>
    </row>
    <row r="242" spans="2:21" x14ac:dyDescent="0.2">
      <c r="B242"/>
      <c r="C242"/>
      <c r="D242"/>
      <c r="E242"/>
      <c r="F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U242" s="1">
        <f t="shared" si="4"/>
        <v>0</v>
      </c>
    </row>
    <row r="243" spans="2:21" x14ac:dyDescent="0.2">
      <c r="B243"/>
      <c r="C243"/>
      <c r="D243"/>
      <c r="E243"/>
      <c r="F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U243" s="1">
        <f t="shared" si="4"/>
        <v>0</v>
      </c>
    </row>
    <row r="244" spans="2:21" x14ac:dyDescent="0.2">
      <c r="B244"/>
      <c r="C244"/>
      <c r="D244"/>
      <c r="E244"/>
      <c r="F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U244" s="1">
        <f t="shared" si="4"/>
        <v>0</v>
      </c>
    </row>
    <row r="245" spans="2:21" x14ac:dyDescent="0.2">
      <c r="B245"/>
      <c r="C245"/>
      <c r="D245"/>
      <c r="E245"/>
      <c r="F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U245" s="1">
        <f t="shared" si="4"/>
        <v>0</v>
      </c>
    </row>
    <row r="246" spans="2:21" x14ac:dyDescent="0.2">
      <c r="B246"/>
      <c r="C246"/>
      <c r="D246"/>
      <c r="E246"/>
      <c r="F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U246" s="1">
        <f t="shared" si="4"/>
        <v>0</v>
      </c>
    </row>
    <row r="247" spans="2:21" x14ac:dyDescent="0.2">
      <c r="B247"/>
      <c r="C247"/>
      <c r="D247"/>
      <c r="E247"/>
      <c r="F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U247" s="1">
        <f t="shared" si="4"/>
        <v>0</v>
      </c>
    </row>
    <row r="248" spans="2:21" x14ac:dyDescent="0.2">
      <c r="B248"/>
      <c r="C248"/>
      <c r="D248"/>
      <c r="E248"/>
      <c r="F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U248" s="1">
        <f t="shared" si="4"/>
        <v>0</v>
      </c>
    </row>
    <row r="249" spans="2:21" x14ac:dyDescent="0.2">
      <c r="B249"/>
      <c r="C249"/>
      <c r="D249"/>
      <c r="E249"/>
      <c r="F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U249" s="1">
        <f t="shared" si="4"/>
        <v>0</v>
      </c>
    </row>
    <row r="250" spans="2:21" x14ac:dyDescent="0.2">
      <c r="B250"/>
      <c r="C250"/>
      <c r="D250"/>
      <c r="E250"/>
      <c r="F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U250" s="1">
        <f t="shared" si="4"/>
        <v>0</v>
      </c>
    </row>
    <row r="251" spans="2:21" x14ac:dyDescent="0.2">
      <c r="B251"/>
      <c r="C251"/>
      <c r="D251"/>
      <c r="E251"/>
      <c r="F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U251" s="1">
        <f t="shared" si="4"/>
        <v>0</v>
      </c>
    </row>
    <row r="252" spans="2:21" x14ac:dyDescent="0.2">
      <c r="B252"/>
      <c r="C252"/>
      <c r="D252"/>
      <c r="E252"/>
      <c r="F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U252" s="1">
        <f t="shared" si="4"/>
        <v>0</v>
      </c>
    </row>
    <row r="253" spans="2:21" x14ac:dyDescent="0.2">
      <c r="B253"/>
      <c r="C253"/>
      <c r="D253"/>
      <c r="E253"/>
      <c r="F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U253" s="1">
        <f t="shared" si="4"/>
        <v>0</v>
      </c>
    </row>
    <row r="254" spans="2:21" x14ac:dyDescent="0.2">
      <c r="B254"/>
      <c r="C254"/>
      <c r="D254"/>
      <c r="E254"/>
      <c r="F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U254" s="1">
        <f t="shared" si="4"/>
        <v>0</v>
      </c>
    </row>
    <row r="255" spans="2:21" x14ac:dyDescent="0.2">
      <c r="B255"/>
      <c r="C255"/>
      <c r="D255"/>
      <c r="E255"/>
      <c r="F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U255" s="1">
        <f t="shared" si="4"/>
        <v>0</v>
      </c>
    </row>
    <row r="256" spans="2:21" x14ac:dyDescent="0.2">
      <c r="B256"/>
      <c r="C256"/>
      <c r="D256"/>
      <c r="E256"/>
      <c r="F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U256" s="1">
        <f t="shared" si="4"/>
        <v>0</v>
      </c>
    </row>
    <row r="257" spans="2:21" x14ac:dyDescent="0.2">
      <c r="B257"/>
      <c r="C257"/>
      <c r="D257"/>
      <c r="E257"/>
      <c r="F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U257" s="1">
        <f t="shared" si="4"/>
        <v>0</v>
      </c>
    </row>
    <row r="258" spans="2:21" x14ac:dyDescent="0.2">
      <c r="B258"/>
      <c r="C258"/>
      <c r="D258"/>
      <c r="E258"/>
      <c r="F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U258" s="1">
        <f t="shared" si="4"/>
        <v>0</v>
      </c>
    </row>
    <row r="259" spans="2:21" x14ac:dyDescent="0.2">
      <c r="B259"/>
      <c r="C259"/>
      <c r="D259"/>
      <c r="E259"/>
      <c r="F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U260" s="1">
        <f t="shared" si="5"/>
        <v>0</v>
      </c>
    </row>
    <row r="261" spans="2:21" x14ac:dyDescent="0.2">
      <c r="B261"/>
      <c r="C261"/>
      <c r="D261"/>
      <c r="E261"/>
      <c r="F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20"/>
      <c r="U261" s="1">
        <f t="shared" si="5"/>
        <v>0</v>
      </c>
    </row>
    <row r="262" spans="2:21" x14ac:dyDescent="0.2">
      <c r="B262"/>
      <c r="C262"/>
      <c r="D262"/>
      <c r="E262"/>
      <c r="F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20"/>
      <c r="U262" s="1">
        <f t="shared" si="5"/>
        <v>0</v>
      </c>
    </row>
    <row r="263" spans="2:21" x14ac:dyDescent="0.2">
      <c r="B263"/>
      <c r="C263"/>
      <c r="D263"/>
      <c r="E263"/>
      <c r="F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20"/>
      <c r="U263" s="1">
        <f t="shared" si="5"/>
        <v>0</v>
      </c>
    </row>
    <row r="264" spans="2:21" x14ac:dyDescent="0.2">
      <c r="B264"/>
      <c r="C264"/>
      <c r="D264"/>
      <c r="E264"/>
      <c r="F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20"/>
      <c r="U264" s="1">
        <f t="shared" si="5"/>
        <v>0</v>
      </c>
    </row>
    <row r="265" spans="2:21" x14ac:dyDescent="0.2">
      <c r="B265"/>
      <c r="C265"/>
      <c r="D265"/>
      <c r="E265"/>
      <c r="F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20"/>
      <c r="U265" s="1">
        <f t="shared" si="5"/>
        <v>0</v>
      </c>
    </row>
    <row r="266" spans="2:21" x14ac:dyDescent="0.2">
      <c r="B266"/>
      <c r="C266"/>
      <c r="D266"/>
      <c r="E266"/>
      <c r="F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20"/>
      <c r="U266" s="1">
        <f t="shared" si="5"/>
        <v>0</v>
      </c>
    </row>
    <row r="267" spans="2:21" x14ac:dyDescent="0.2">
      <c r="B267"/>
      <c r="C267"/>
      <c r="D267"/>
      <c r="E267"/>
      <c r="F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20"/>
      <c r="U267" s="1">
        <f t="shared" si="5"/>
        <v>0</v>
      </c>
    </row>
    <row r="268" spans="2:21" x14ac:dyDescent="0.2">
      <c r="B268"/>
      <c r="C268"/>
      <c r="D268"/>
      <c r="E268"/>
      <c r="F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20"/>
      <c r="U268" s="1">
        <f t="shared" si="5"/>
        <v>0</v>
      </c>
    </row>
    <row r="269" spans="2:21" x14ac:dyDescent="0.2">
      <c r="B269"/>
      <c r="C269"/>
      <c r="D269"/>
      <c r="E269"/>
      <c r="F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20"/>
      <c r="U269" s="1">
        <f t="shared" si="5"/>
        <v>0</v>
      </c>
    </row>
    <row r="270" spans="2:21" x14ac:dyDescent="0.2">
      <c r="B270"/>
      <c r="C270"/>
      <c r="D270"/>
      <c r="E270"/>
      <c r="F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20"/>
      <c r="U270" s="1">
        <f t="shared" si="5"/>
        <v>0</v>
      </c>
    </row>
    <row r="271" spans="2:21" x14ac:dyDescent="0.2">
      <c r="B271"/>
      <c r="C271"/>
      <c r="D271"/>
      <c r="E271"/>
      <c r="F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20"/>
      <c r="U271" s="1">
        <f t="shared" si="5"/>
        <v>0</v>
      </c>
    </row>
    <row r="272" spans="2:21" x14ac:dyDescent="0.2">
      <c r="B272"/>
      <c r="C272"/>
      <c r="D272"/>
      <c r="E272"/>
      <c r="F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20"/>
      <c r="U272" s="1">
        <f t="shared" si="5"/>
        <v>0</v>
      </c>
    </row>
    <row r="273" spans="2:21" x14ac:dyDescent="0.2">
      <c r="B273"/>
      <c r="C273"/>
      <c r="D273"/>
      <c r="E273"/>
      <c r="F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20"/>
      <c r="U273" s="1">
        <f t="shared" si="5"/>
        <v>0</v>
      </c>
    </row>
    <row r="274" spans="2:21" x14ac:dyDescent="0.2">
      <c r="B274"/>
      <c r="C274"/>
      <c r="D274"/>
      <c r="E274"/>
      <c r="F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20"/>
      <c r="U274" s="1">
        <f t="shared" si="5"/>
        <v>0</v>
      </c>
    </row>
    <row r="275" spans="2:21" x14ac:dyDescent="0.2">
      <c r="B275"/>
      <c r="C275"/>
      <c r="D275"/>
      <c r="E275"/>
      <c r="F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20"/>
      <c r="U275" s="1">
        <f t="shared" si="5"/>
        <v>0</v>
      </c>
    </row>
    <row r="276" spans="2:21" x14ac:dyDescent="0.2">
      <c r="B276"/>
      <c r="C276"/>
      <c r="D276"/>
      <c r="E276"/>
      <c r="F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20"/>
      <c r="U276" s="1">
        <f t="shared" si="5"/>
        <v>0</v>
      </c>
    </row>
    <row r="277" spans="2:21" x14ac:dyDescent="0.2">
      <c r="B277"/>
      <c r="C277"/>
      <c r="D277"/>
      <c r="E277"/>
      <c r="F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20"/>
      <c r="U277" s="1">
        <f t="shared" si="5"/>
        <v>0</v>
      </c>
    </row>
    <row r="278" spans="2:21" x14ac:dyDescent="0.2">
      <c r="B278"/>
      <c r="C278"/>
      <c r="D278"/>
      <c r="E278"/>
      <c r="F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20"/>
      <c r="U278" s="1">
        <f t="shared" si="5"/>
        <v>0</v>
      </c>
    </row>
    <row r="279" spans="2:21" x14ac:dyDescent="0.2">
      <c r="B279"/>
      <c r="C279"/>
      <c r="D279"/>
      <c r="E279"/>
      <c r="F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20"/>
      <c r="U279" s="1">
        <f t="shared" si="5"/>
        <v>0</v>
      </c>
    </row>
    <row r="280" spans="2:21" x14ac:dyDescent="0.2">
      <c r="B280"/>
      <c r="C280"/>
      <c r="D280"/>
      <c r="E280"/>
      <c r="F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20"/>
      <c r="U280" s="1">
        <f t="shared" si="5"/>
        <v>0</v>
      </c>
    </row>
    <row r="281" spans="2:21" x14ac:dyDescent="0.2">
      <c r="B281"/>
      <c r="C281"/>
      <c r="D281"/>
      <c r="E281"/>
      <c r="F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20"/>
      <c r="U281" s="1">
        <f t="shared" si="5"/>
        <v>0</v>
      </c>
    </row>
    <row r="282" spans="2:21" x14ac:dyDescent="0.2">
      <c r="B282"/>
      <c r="C282"/>
      <c r="D282"/>
      <c r="E282"/>
      <c r="F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20"/>
      <c r="U282" s="1">
        <f t="shared" si="5"/>
        <v>0</v>
      </c>
    </row>
    <row r="283" spans="2:21" x14ac:dyDescent="0.2">
      <c r="B283"/>
      <c r="C283"/>
      <c r="D283"/>
      <c r="E283"/>
      <c r="F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20"/>
      <c r="U283" s="1">
        <f t="shared" si="5"/>
        <v>0</v>
      </c>
    </row>
    <row r="284" spans="2:21" x14ac:dyDescent="0.2">
      <c r="B284"/>
      <c r="C284"/>
      <c r="D284"/>
      <c r="E284"/>
      <c r="F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20"/>
      <c r="U284" s="1">
        <f t="shared" si="5"/>
        <v>0</v>
      </c>
    </row>
    <row r="285" spans="2:21" x14ac:dyDescent="0.2">
      <c r="B285"/>
      <c r="C285"/>
      <c r="D285"/>
      <c r="E285"/>
      <c r="F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20"/>
      <c r="U285" s="1">
        <f t="shared" si="5"/>
        <v>0</v>
      </c>
    </row>
    <row r="286" spans="2:21" x14ac:dyDescent="0.2">
      <c r="B286"/>
      <c r="C286"/>
      <c r="D286"/>
      <c r="E286"/>
      <c r="F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20"/>
      <c r="U286" s="1">
        <f t="shared" si="5"/>
        <v>0</v>
      </c>
    </row>
    <row r="287" spans="2:21" x14ac:dyDescent="0.2">
      <c r="B287"/>
      <c r="C287"/>
      <c r="D287"/>
      <c r="E287"/>
      <c r="F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20"/>
      <c r="U287" s="1">
        <f t="shared" si="5"/>
        <v>0</v>
      </c>
    </row>
    <row r="288" spans="2:21" x14ac:dyDescent="0.2">
      <c r="B288"/>
      <c r="C288"/>
      <c r="D288"/>
      <c r="E288"/>
      <c r="F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20"/>
      <c r="U288" s="1">
        <f t="shared" si="5"/>
        <v>0</v>
      </c>
    </row>
    <row r="289" spans="2:21" x14ac:dyDescent="0.2">
      <c r="B289"/>
      <c r="C289"/>
      <c r="D289"/>
      <c r="E289"/>
      <c r="F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20"/>
      <c r="U289" s="1">
        <f t="shared" si="5"/>
        <v>0</v>
      </c>
    </row>
    <row r="290" spans="2:21" x14ac:dyDescent="0.2">
      <c r="B290"/>
      <c r="C290"/>
      <c r="D290"/>
      <c r="E290"/>
      <c r="F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20"/>
      <c r="U290" s="1">
        <f t="shared" si="5"/>
        <v>0</v>
      </c>
    </row>
    <row r="291" spans="2:21" x14ac:dyDescent="0.2">
      <c r="B291"/>
      <c r="C291"/>
      <c r="D291"/>
      <c r="E291"/>
      <c r="F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20"/>
      <c r="U291" s="1">
        <f t="shared" si="5"/>
        <v>0</v>
      </c>
    </row>
    <row r="292" spans="2:21" x14ac:dyDescent="0.2">
      <c r="B292"/>
      <c r="C292"/>
      <c r="D292"/>
      <c r="E292"/>
      <c r="F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20"/>
      <c r="U292" s="1">
        <f t="shared" si="5"/>
        <v>0</v>
      </c>
    </row>
    <row r="293" spans="2:21" x14ac:dyDescent="0.2">
      <c r="B293"/>
      <c r="C293"/>
      <c r="D293"/>
      <c r="E293"/>
      <c r="F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20"/>
      <c r="U293" s="1">
        <f t="shared" si="5"/>
        <v>0</v>
      </c>
    </row>
    <row r="294" spans="2:21" x14ac:dyDescent="0.2">
      <c r="B294"/>
      <c r="C294"/>
      <c r="D294"/>
      <c r="E294"/>
      <c r="F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20"/>
      <c r="U294" s="1">
        <f t="shared" si="5"/>
        <v>0</v>
      </c>
    </row>
    <row r="295" spans="2:21" x14ac:dyDescent="0.2">
      <c r="B295"/>
      <c r="C295"/>
      <c r="D295"/>
      <c r="E295"/>
      <c r="F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20"/>
      <c r="U295" s="1">
        <f t="shared" si="5"/>
        <v>0</v>
      </c>
    </row>
    <row r="296" spans="2:21" x14ac:dyDescent="0.2">
      <c r="B296"/>
      <c r="C296"/>
      <c r="D296"/>
      <c r="E296"/>
      <c r="F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20"/>
      <c r="U296" s="1">
        <f t="shared" si="5"/>
        <v>0</v>
      </c>
    </row>
    <row r="297" spans="2:21" x14ac:dyDescent="0.2">
      <c r="B297"/>
      <c r="C297"/>
      <c r="D297"/>
      <c r="E297"/>
      <c r="F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20"/>
      <c r="U297" s="1">
        <f t="shared" si="5"/>
        <v>0</v>
      </c>
    </row>
    <row r="298" spans="2:21" x14ac:dyDescent="0.2">
      <c r="B298"/>
      <c r="C298"/>
      <c r="D298"/>
      <c r="E298"/>
      <c r="F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20"/>
      <c r="U298" s="1">
        <f t="shared" si="5"/>
        <v>0</v>
      </c>
    </row>
    <row r="299" spans="2:21" x14ac:dyDescent="0.2">
      <c r="B299"/>
      <c r="C299"/>
      <c r="D299"/>
      <c r="E299"/>
      <c r="F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20"/>
      <c r="U299" s="1">
        <f t="shared" si="5"/>
        <v>0</v>
      </c>
    </row>
    <row r="300" spans="2:21" x14ac:dyDescent="0.2">
      <c r="B300"/>
      <c r="C300"/>
      <c r="D300"/>
      <c r="E300"/>
      <c r="F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20"/>
      <c r="U300" s="1">
        <f t="shared" si="5"/>
        <v>0</v>
      </c>
    </row>
    <row r="301" spans="2:21" x14ac:dyDescent="0.2">
      <c r="B301"/>
      <c r="C301"/>
      <c r="D301"/>
      <c r="E301"/>
      <c r="F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20"/>
      <c r="U301" s="1">
        <f t="shared" si="5"/>
        <v>0</v>
      </c>
    </row>
    <row r="302" spans="2:21" x14ac:dyDescent="0.2">
      <c r="B302"/>
      <c r="C302"/>
      <c r="D302"/>
      <c r="E302"/>
      <c r="F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20"/>
      <c r="U302" s="1">
        <f t="shared" si="5"/>
        <v>0</v>
      </c>
    </row>
    <row r="303" spans="2:21" x14ac:dyDescent="0.2">
      <c r="B303"/>
      <c r="C303"/>
      <c r="D303"/>
      <c r="E303"/>
      <c r="F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20"/>
      <c r="U303" s="1">
        <f t="shared" si="5"/>
        <v>0</v>
      </c>
    </row>
    <row r="304" spans="2:21" x14ac:dyDescent="0.2">
      <c r="B304"/>
      <c r="C304"/>
      <c r="D304"/>
      <c r="E304"/>
      <c r="F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20"/>
      <c r="U304" s="1">
        <f t="shared" si="5"/>
        <v>0</v>
      </c>
    </row>
    <row r="305" spans="2:21" x14ac:dyDescent="0.2">
      <c r="B305"/>
      <c r="C305"/>
      <c r="D305"/>
      <c r="E305"/>
      <c r="F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20"/>
      <c r="U305" s="1">
        <f t="shared" si="5"/>
        <v>0</v>
      </c>
    </row>
    <row r="306" spans="2:21" x14ac:dyDescent="0.2">
      <c r="B306"/>
      <c r="C306"/>
      <c r="D306"/>
      <c r="E306"/>
      <c r="F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20"/>
      <c r="U306" s="1">
        <f t="shared" si="5"/>
        <v>0</v>
      </c>
    </row>
    <row r="307" spans="2:21" x14ac:dyDescent="0.2">
      <c r="B307"/>
      <c r="C307"/>
      <c r="D307"/>
      <c r="E307"/>
      <c r="F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20"/>
      <c r="U307" s="1">
        <f t="shared" si="5"/>
        <v>0</v>
      </c>
    </row>
    <row r="308" spans="2:21" x14ac:dyDescent="0.2">
      <c r="B308"/>
      <c r="C308"/>
      <c r="D308"/>
      <c r="E308"/>
      <c r="F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20"/>
      <c r="U308" s="1">
        <f t="shared" si="5"/>
        <v>0</v>
      </c>
    </row>
    <row r="309" spans="2:21" x14ac:dyDescent="0.2">
      <c r="B309"/>
      <c r="C309"/>
      <c r="D309"/>
      <c r="E309"/>
      <c r="F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20"/>
      <c r="U309" s="1">
        <f t="shared" si="5"/>
        <v>0</v>
      </c>
    </row>
    <row r="310" spans="2:21" x14ac:dyDescent="0.2">
      <c r="B310"/>
      <c r="C310"/>
      <c r="D310"/>
      <c r="E310"/>
      <c r="F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20"/>
      <c r="U310" s="1">
        <f t="shared" si="5"/>
        <v>0</v>
      </c>
    </row>
    <row r="311" spans="2:21" x14ac:dyDescent="0.2">
      <c r="B311"/>
      <c r="C311"/>
      <c r="D311"/>
      <c r="E311"/>
      <c r="F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20"/>
      <c r="U311" s="1">
        <f t="shared" si="5"/>
        <v>0</v>
      </c>
    </row>
    <row r="312" spans="2:21" x14ac:dyDescent="0.2">
      <c r="B312"/>
      <c r="C312"/>
      <c r="D312"/>
      <c r="E312"/>
      <c r="F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20"/>
      <c r="U312" s="1">
        <f t="shared" si="5"/>
        <v>0</v>
      </c>
    </row>
    <row r="313" spans="2:21" x14ac:dyDescent="0.2">
      <c r="B313"/>
      <c r="C313"/>
      <c r="D313"/>
      <c r="E313"/>
      <c r="F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20"/>
      <c r="U313" s="1">
        <f t="shared" si="5"/>
        <v>0</v>
      </c>
    </row>
    <row r="314" spans="2:21" x14ac:dyDescent="0.2">
      <c r="B314"/>
      <c r="C314"/>
      <c r="D314"/>
      <c r="E314"/>
      <c r="F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20"/>
      <c r="U314" s="1">
        <f t="shared" si="5"/>
        <v>0</v>
      </c>
    </row>
    <row r="315" spans="2:21" x14ac:dyDescent="0.2">
      <c r="B315"/>
      <c r="C315"/>
      <c r="D315"/>
      <c r="E315"/>
      <c r="F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20"/>
      <c r="U315" s="1">
        <f t="shared" si="5"/>
        <v>0</v>
      </c>
    </row>
    <row r="316" spans="2:21" x14ac:dyDescent="0.2">
      <c r="B316"/>
      <c r="C316"/>
      <c r="D316"/>
      <c r="E316"/>
      <c r="F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20"/>
      <c r="U316" s="1">
        <f t="shared" si="5"/>
        <v>0</v>
      </c>
    </row>
    <row r="317" spans="2:21" x14ac:dyDescent="0.2">
      <c r="B317"/>
      <c r="C317"/>
      <c r="D317"/>
      <c r="E317"/>
      <c r="F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20"/>
      <c r="U317" s="1">
        <f t="shared" si="5"/>
        <v>0</v>
      </c>
    </row>
    <row r="318" spans="2:21" x14ac:dyDescent="0.2">
      <c r="B318"/>
      <c r="C318"/>
      <c r="D318"/>
      <c r="E318"/>
      <c r="F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20"/>
      <c r="U318" s="1">
        <f t="shared" si="5"/>
        <v>0</v>
      </c>
    </row>
    <row r="319" spans="2:21" x14ac:dyDescent="0.2">
      <c r="B319"/>
      <c r="C319"/>
      <c r="D319"/>
      <c r="E319"/>
      <c r="F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20"/>
      <c r="U319" s="1">
        <f t="shared" si="5"/>
        <v>0</v>
      </c>
    </row>
    <row r="320" spans="2:21" x14ac:dyDescent="0.2">
      <c r="B320"/>
      <c r="C320"/>
      <c r="D320"/>
      <c r="E320"/>
      <c r="F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20"/>
      <c r="U320" s="1">
        <f t="shared" si="5"/>
        <v>0</v>
      </c>
    </row>
    <row r="321" spans="2:21" x14ac:dyDescent="0.2">
      <c r="B321"/>
      <c r="C321"/>
      <c r="D321"/>
      <c r="E321"/>
      <c r="F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20"/>
      <c r="U321" s="1">
        <f t="shared" si="5"/>
        <v>0</v>
      </c>
    </row>
    <row r="322" spans="2:21" x14ac:dyDescent="0.2">
      <c r="B322"/>
      <c r="C322"/>
      <c r="D322"/>
      <c r="E322"/>
      <c r="F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20"/>
      <c r="U322" s="1">
        <f t="shared" si="5"/>
        <v>0</v>
      </c>
    </row>
    <row r="323" spans="2:21" x14ac:dyDescent="0.2">
      <c r="B323"/>
      <c r="C323"/>
      <c r="D323"/>
      <c r="E323"/>
      <c r="F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20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20"/>
      <c r="U324" s="1">
        <f t="shared" si="6"/>
        <v>0</v>
      </c>
    </row>
    <row r="325" spans="2:21" x14ac:dyDescent="0.2">
      <c r="B325"/>
      <c r="C325"/>
      <c r="D325"/>
      <c r="E325"/>
      <c r="F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20"/>
      <c r="U325" s="1">
        <f t="shared" si="6"/>
        <v>0</v>
      </c>
    </row>
    <row r="326" spans="2:21" x14ac:dyDescent="0.2">
      <c r="B326"/>
      <c r="C326"/>
      <c r="D326"/>
      <c r="E326"/>
      <c r="F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20"/>
      <c r="U326" s="1">
        <f t="shared" si="6"/>
        <v>0</v>
      </c>
    </row>
    <row r="327" spans="2:21" x14ac:dyDescent="0.2">
      <c r="B327"/>
      <c r="C327"/>
      <c r="D327"/>
      <c r="E327"/>
      <c r="F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20"/>
      <c r="U327" s="1">
        <f t="shared" si="6"/>
        <v>0</v>
      </c>
    </row>
    <row r="328" spans="2:21" x14ac:dyDescent="0.2">
      <c r="B328"/>
      <c r="C328"/>
      <c r="D328"/>
      <c r="E328"/>
      <c r="F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20"/>
      <c r="U328" s="1">
        <f t="shared" si="6"/>
        <v>0</v>
      </c>
    </row>
    <row r="329" spans="2:21" x14ac:dyDescent="0.2">
      <c r="B329"/>
      <c r="C329"/>
      <c r="D329"/>
      <c r="E329"/>
      <c r="F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20"/>
      <c r="U329" s="1">
        <f t="shared" si="6"/>
        <v>0</v>
      </c>
    </row>
    <row r="330" spans="2:21" x14ac:dyDescent="0.2">
      <c r="B330"/>
      <c r="C330"/>
      <c r="D330"/>
      <c r="E330"/>
      <c r="F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20"/>
      <c r="U330" s="1">
        <f t="shared" si="6"/>
        <v>0</v>
      </c>
    </row>
    <row r="331" spans="2:21" x14ac:dyDescent="0.2">
      <c r="B331"/>
      <c r="C331"/>
      <c r="D331"/>
      <c r="E331"/>
      <c r="F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20"/>
      <c r="U331" s="1">
        <f t="shared" si="6"/>
        <v>0</v>
      </c>
    </row>
    <row r="332" spans="2:21" x14ac:dyDescent="0.2">
      <c r="B332"/>
      <c r="C332"/>
      <c r="D332"/>
      <c r="E332"/>
      <c r="F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20"/>
      <c r="U332" s="1">
        <f t="shared" si="6"/>
        <v>0</v>
      </c>
    </row>
    <row r="333" spans="2:21" x14ac:dyDescent="0.2">
      <c r="B333"/>
      <c r="C333"/>
      <c r="D333"/>
      <c r="E333"/>
      <c r="F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20"/>
      <c r="U333" s="1">
        <f t="shared" si="6"/>
        <v>0</v>
      </c>
    </row>
    <row r="334" spans="2:21" x14ac:dyDescent="0.2">
      <c r="B334"/>
      <c r="C334"/>
      <c r="D334"/>
      <c r="E334"/>
      <c r="F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20"/>
      <c r="U334" s="1">
        <f t="shared" si="6"/>
        <v>0</v>
      </c>
    </row>
    <row r="335" spans="2:21" x14ac:dyDescent="0.2">
      <c r="B335"/>
      <c r="C335"/>
      <c r="D335"/>
      <c r="E335"/>
      <c r="F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20"/>
      <c r="U335" s="1">
        <f t="shared" si="6"/>
        <v>0</v>
      </c>
    </row>
    <row r="336" spans="2:21" x14ac:dyDescent="0.2">
      <c r="B336"/>
      <c r="C336"/>
      <c r="D336"/>
      <c r="E336"/>
      <c r="F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20"/>
      <c r="U336" s="1">
        <f t="shared" si="6"/>
        <v>0</v>
      </c>
    </row>
    <row r="337" spans="2:21" x14ac:dyDescent="0.2">
      <c r="B337"/>
      <c r="C337"/>
      <c r="D337"/>
      <c r="E337"/>
      <c r="F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20"/>
      <c r="U337" s="1">
        <f t="shared" si="6"/>
        <v>0</v>
      </c>
    </row>
    <row r="338" spans="2:21" x14ac:dyDescent="0.2">
      <c r="B338"/>
      <c r="C338"/>
      <c r="D338"/>
      <c r="E338"/>
      <c r="F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20"/>
      <c r="U338" s="1">
        <f t="shared" si="6"/>
        <v>0</v>
      </c>
    </row>
    <row r="339" spans="2:21" x14ac:dyDescent="0.2">
      <c r="B339"/>
      <c r="C339"/>
      <c r="D339"/>
      <c r="E339"/>
      <c r="F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20"/>
      <c r="U339" s="1">
        <f t="shared" si="6"/>
        <v>0</v>
      </c>
    </row>
    <row r="340" spans="2:21" x14ac:dyDescent="0.2">
      <c r="B340"/>
      <c r="C340"/>
      <c r="D340"/>
      <c r="E340"/>
      <c r="F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20"/>
      <c r="U340" s="1">
        <f t="shared" si="6"/>
        <v>0</v>
      </c>
    </row>
    <row r="341" spans="2:21" x14ac:dyDescent="0.2">
      <c r="B341"/>
      <c r="C341"/>
      <c r="D341"/>
      <c r="E341"/>
      <c r="F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20"/>
      <c r="U341" s="1">
        <f t="shared" si="6"/>
        <v>0</v>
      </c>
    </row>
    <row r="342" spans="2:21" x14ac:dyDescent="0.2">
      <c r="B342"/>
      <c r="C342"/>
      <c r="D342"/>
      <c r="E342"/>
      <c r="F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20"/>
      <c r="U342" s="1">
        <f t="shared" si="6"/>
        <v>0</v>
      </c>
    </row>
    <row r="343" spans="2:21" x14ac:dyDescent="0.2">
      <c r="B343"/>
      <c r="C343"/>
      <c r="D343"/>
      <c r="E343"/>
      <c r="F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20"/>
      <c r="U343" s="1">
        <f t="shared" si="6"/>
        <v>0</v>
      </c>
    </row>
    <row r="344" spans="2:21" x14ac:dyDescent="0.2">
      <c r="B344"/>
      <c r="C344"/>
      <c r="D344"/>
      <c r="E344"/>
      <c r="F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20"/>
      <c r="U344" s="1">
        <f t="shared" si="6"/>
        <v>0</v>
      </c>
    </row>
    <row r="345" spans="2:21" x14ac:dyDescent="0.2">
      <c r="B345"/>
      <c r="C345"/>
      <c r="D345"/>
      <c r="E345"/>
      <c r="F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20"/>
      <c r="U345" s="1">
        <f t="shared" si="6"/>
        <v>0</v>
      </c>
    </row>
    <row r="346" spans="2:21" x14ac:dyDescent="0.2">
      <c r="B346"/>
      <c r="C346"/>
      <c r="D346"/>
      <c r="E346"/>
      <c r="F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20"/>
      <c r="U346" s="1">
        <f t="shared" si="6"/>
        <v>0</v>
      </c>
    </row>
    <row r="347" spans="2:21" x14ac:dyDescent="0.2">
      <c r="B347"/>
      <c r="C347"/>
      <c r="D347"/>
      <c r="E347"/>
      <c r="F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20"/>
      <c r="U347" s="1">
        <f t="shared" si="6"/>
        <v>0</v>
      </c>
    </row>
    <row r="348" spans="2:21" x14ac:dyDescent="0.2">
      <c r="B348"/>
      <c r="C348"/>
      <c r="D348"/>
      <c r="E348"/>
      <c r="F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20"/>
      <c r="U348" s="1">
        <f t="shared" si="6"/>
        <v>0</v>
      </c>
    </row>
    <row r="349" spans="2:21" x14ac:dyDescent="0.2">
      <c r="B349"/>
      <c r="C349"/>
      <c r="D349"/>
      <c r="E349"/>
      <c r="F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20"/>
      <c r="U349" s="1">
        <f t="shared" si="6"/>
        <v>0</v>
      </c>
    </row>
    <row r="350" spans="2:21" x14ac:dyDescent="0.2">
      <c r="B350"/>
      <c r="C350"/>
      <c r="D350"/>
      <c r="E350"/>
      <c r="F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20"/>
      <c r="U350" s="1">
        <f t="shared" si="6"/>
        <v>0</v>
      </c>
    </row>
    <row r="351" spans="2:21" x14ac:dyDescent="0.2">
      <c r="B351"/>
      <c r="C351"/>
      <c r="D351"/>
      <c r="E351"/>
      <c r="F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20"/>
      <c r="U351" s="1">
        <f t="shared" si="6"/>
        <v>0</v>
      </c>
    </row>
    <row r="352" spans="2:21" x14ac:dyDescent="0.2">
      <c r="B352"/>
      <c r="C352"/>
      <c r="D352"/>
      <c r="E352"/>
      <c r="F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20"/>
      <c r="U352" s="1">
        <f t="shared" si="6"/>
        <v>0</v>
      </c>
    </row>
    <row r="353" spans="2:21" x14ac:dyDescent="0.2">
      <c r="B353"/>
      <c r="C353"/>
      <c r="D353"/>
      <c r="E353"/>
      <c r="F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20"/>
      <c r="U353" s="1">
        <f t="shared" si="6"/>
        <v>0</v>
      </c>
    </row>
    <row r="354" spans="2:21" x14ac:dyDescent="0.2">
      <c r="B354"/>
      <c r="C354"/>
      <c r="D354"/>
      <c r="E354"/>
      <c r="F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20"/>
      <c r="U354" s="1">
        <f t="shared" si="6"/>
        <v>0</v>
      </c>
    </row>
    <row r="355" spans="2:21" x14ac:dyDescent="0.2">
      <c r="B355"/>
      <c r="C355"/>
      <c r="D355"/>
      <c r="E355"/>
      <c r="F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20"/>
      <c r="U355" s="1">
        <f t="shared" si="6"/>
        <v>0</v>
      </c>
    </row>
    <row r="356" spans="2:21" x14ac:dyDescent="0.2">
      <c r="B356"/>
      <c r="C356"/>
      <c r="D356"/>
      <c r="E356"/>
      <c r="F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20"/>
      <c r="U356" s="1">
        <f t="shared" si="6"/>
        <v>0</v>
      </c>
    </row>
    <row r="357" spans="2:21" x14ac:dyDescent="0.2">
      <c r="B357"/>
      <c r="C357"/>
      <c r="D357"/>
      <c r="E357"/>
      <c r="F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20"/>
      <c r="U357" s="1">
        <f t="shared" si="6"/>
        <v>0</v>
      </c>
    </row>
    <row r="358" spans="2:21" x14ac:dyDescent="0.2">
      <c r="B358"/>
      <c r="C358"/>
      <c r="D358"/>
      <c r="E358"/>
      <c r="F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20"/>
      <c r="U358" s="1">
        <f t="shared" si="6"/>
        <v>0</v>
      </c>
    </row>
    <row r="359" spans="2:21" x14ac:dyDescent="0.2">
      <c r="B359"/>
      <c r="C359"/>
      <c r="D359"/>
      <c r="E359"/>
      <c r="F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20"/>
      <c r="U359" s="1">
        <f t="shared" si="6"/>
        <v>0</v>
      </c>
    </row>
    <row r="360" spans="2:21" x14ac:dyDescent="0.2">
      <c r="B360"/>
      <c r="C360"/>
      <c r="D360"/>
      <c r="E360"/>
      <c r="F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20"/>
      <c r="U360" s="1">
        <f t="shared" si="6"/>
        <v>0</v>
      </c>
    </row>
    <row r="361" spans="2:21" x14ac:dyDescent="0.2">
      <c r="B361"/>
      <c r="C361"/>
      <c r="D361"/>
      <c r="E361"/>
      <c r="F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20"/>
      <c r="U361" s="1">
        <f t="shared" si="6"/>
        <v>0</v>
      </c>
    </row>
    <row r="362" spans="2:21" x14ac:dyDescent="0.2">
      <c r="B362"/>
      <c r="C362"/>
      <c r="D362"/>
      <c r="E362"/>
      <c r="F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20"/>
      <c r="U362" s="1">
        <f t="shared" si="6"/>
        <v>0</v>
      </c>
    </row>
    <row r="363" spans="2:21" x14ac:dyDescent="0.2">
      <c r="B363"/>
      <c r="C363"/>
      <c r="D363"/>
      <c r="E363"/>
      <c r="F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20"/>
      <c r="U363" s="1">
        <f t="shared" si="6"/>
        <v>0</v>
      </c>
    </row>
    <row r="364" spans="2:21" x14ac:dyDescent="0.2">
      <c r="B364"/>
      <c r="C364"/>
      <c r="D364"/>
      <c r="E364"/>
      <c r="F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20"/>
      <c r="U364" s="1">
        <f t="shared" si="6"/>
        <v>0</v>
      </c>
    </row>
    <row r="365" spans="2:21" x14ac:dyDescent="0.2">
      <c r="B365"/>
      <c r="C365"/>
      <c r="D365"/>
      <c r="E365"/>
      <c r="F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20"/>
      <c r="U365" s="1">
        <f t="shared" si="6"/>
        <v>0</v>
      </c>
    </row>
    <row r="366" spans="2:21" x14ac:dyDescent="0.2">
      <c r="B366"/>
      <c r="C366"/>
      <c r="D366"/>
      <c r="E366"/>
      <c r="F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20"/>
      <c r="U366" s="1">
        <f t="shared" si="6"/>
        <v>0</v>
      </c>
    </row>
    <row r="367" spans="2:21" x14ac:dyDescent="0.2">
      <c r="B367"/>
      <c r="C367"/>
      <c r="D367"/>
      <c r="E367"/>
      <c r="F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20"/>
      <c r="U367" s="1">
        <f t="shared" si="6"/>
        <v>0</v>
      </c>
    </row>
    <row r="368" spans="2:21" x14ac:dyDescent="0.2">
      <c r="B368"/>
      <c r="C368"/>
      <c r="D368"/>
      <c r="E368"/>
      <c r="F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20"/>
      <c r="U368" s="1">
        <f t="shared" si="6"/>
        <v>0</v>
      </c>
    </row>
    <row r="369" spans="2:21" x14ac:dyDescent="0.2">
      <c r="B369"/>
      <c r="C369"/>
      <c r="D369"/>
      <c r="E369"/>
      <c r="F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20"/>
      <c r="U369" s="1">
        <f t="shared" si="6"/>
        <v>0</v>
      </c>
    </row>
    <row r="370" spans="2:21" x14ac:dyDescent="0.2">
      <c r="B370"/>
      <c r="C370"/>
      <c r="D370"/>
      <c r="E370"/>
      <c r="F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20"/>
      <c r="U370" s="1">
        <f t="shared" si="6"/>
        <v>0</v>
      </c>
    </row>
    <row r="371" spans="2:21" x14ac:dyDescent="0.2">
      <c r="B371"/>
      <c r="C371"/>
      <c r="D371"/>
      <c r="E371"/>
      <c r="F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20"/>
      <c r="U371" s="1">
        <f t="shared" si="6"/>
        <v>0</v>
      </c>
    </row>
    <row r="372" spans="2:21" x14ac:dyDescent="0.2">
      <c r="B372"/>
      <c r="C372"/>
      <c r="D372"/>
      <c r="E372"/>
      <c r="F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20"/>
      <c r="U372" s="1">
        <f t="shared" si="6"/>
        <v>0</v>
      </c>
    </row>
    <row r="373" spans="2:21" x14ac:dyDescent="0.2">
      <c r="B373"/>
      <c r="C373"/>
      <c r="D373"/>
      <c r="E373"/>
      <c r="F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20"/>
      <c r="U373" s="1">
        <f t="shared" si="6"/>
        <v>0</v>
      </c>
    </row>
    <row r="374" spans="2:21" x14ac:dyDescent="0.2">
      <c r="B374"/>
      <c r="C374"/>
      <c r="D374"/>
      <c r="E374"/>
      <c r="F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20"/>
      <c r="U374" s="1">
        <f t="shared" si="6"/>
        <v>0</v>
      </c>
    </row>
    <row r="375" spans="2:21" x14ac:dyDescent="0.2">
      <c r="B375"/>
      <c r="C375"/>
      <c r="D375"/>
      <c r="E375"/>
      <c r="F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20"/>
      <c r="U375" s="1">
        <f t="shared" si="6"/>
        <v>0</v>
      </c>
    </row>
    <row r="376" spans="2:21" x14ac:dyDescent="0.2">
      <c r="B376"/>
      <c r="C376"/>
      <c r="D376"/>
      <c r="E376"/>
      <c r="F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20"/>
      <c r="U376" s="1">
        <f t="shared" si="6"/>
        <v>0</v>
      </c>
    </row>
    <row r="377" spans="2:21" x14ac:dyDescent="0.2">
      <c r="B377"/>
      <c r="C377"/>
      <c r="D377"/>
      <c r="E377"/>
      <c r="F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20"/>
      <c r="U377" s="1">
        <f t="shared" si="6"/>
        <v>0</v>
      </c>
    </row>
    <row r="378" spans="2:21" x14ac:dyDescent="0.2">
      <c r="B378"/>
      <c r="C378"/>
      <c r="D378"/>
      <c r="E378"/>
      <c r="F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20"/>
      <c r="U378" s="1">
        <f t="shared" si="6"/>
        <v>0</v>
      </c>
    </row>
    <row r="379" spans="2:21" x14ac:dyDescent="0.2">
      <c r="B379"/>
      <c r="C379"/>
      <c r="D379"/>
      <c r="E379"/>
      <c r="F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20"/>
      <c r="U379" s="1">
        <f t="shared" si="6"/>
        <v>0</v>
      </c>
    </row>
    <row r="380" spans="2:21" x14ac:dyDescent="0.2">
      <c r="B380"/>
      <c r="C380"/>
      <c r="D380"/>
      <c r="E380"/>
      <c r="F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20"/>
      <c r="U380" s="1">
        <f t="shared" si="6"/>
        <v>0</v>
      </c>
    </row>
    <row r="381" spans="2:21" x14ac:dyDescent="0.2">
      <c r="B381"/>
      <c r="C381"/>
      <c r="D381"/>
      <c r="E381"/>
      <c r="F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20"/>
      <c r="U381" s="1">
        <f t="shared" si="6"/>
        <v>0</v>
      </c>
    </row>
    <row r="382" spans="2:21" x14ac:dyDescent="0.2">
      <c r="B382"/>
      <c r="C382"/>
      <c r="D382"/>
      <c r="E382"/>
      <c r="F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20"/>
      <c r="U382" s="1">
        <f t="shared" si="6"/>
        <v>0</v>
      </c>
    </row>
    <row r="383" spans="2:21" x14ac:dyDescent="0.2">
      <c r="B383"/>
      <c r="C383"/>
      <c r="D383"/>
      <c r="E383"/>
      <c r="F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20"/>
      <c r="U383" s="1">
        <f t="shared" si="6"/>
        <v>0</v>
      </c>
    </row>
    <row r="384" spans="2:21" x14ac:dyDescent="0.2">
      <c r="B384"/>
      <c r="C384"/>
      <c r="D384"/>
      <c r="E384"/>
      <c r="F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20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17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</sheetData>
  <mergeCells count="23"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  <mergeCell ref="X20:X22"/>
    <mergeCell ref="Y20:Y22"/>
    <mergeCell ref="AD20:AD22"/>
    <mergeCell ref="AE20:AE22"/>
    <mergeCell ref="X23:X25"/>
    <mergeCell ref="Y23:Y25"/>
    <mergeCell ref="AD23:AD25"/>
    <mergeCell ref="AE23:AE2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C9689-02F5-4EBF-95E4-F84A1E403189}">
  <sheetPr codeName="Sheet6"/>
  <dimension ref="A3:P19"/>
  <sheetViews>
    <sheetView tabSelected="1" zoomScale="141" workbookViewId="0">
      <selection activeCell="B6" sqref="B6"/>
    </sheetView>
  </sheetViews>
  <sheetFormatPr baseColWidth="10" defaultColWidth="8.83203125" defaultRowHeight="16" x14ac:dyDescent="0.2"/>
  <cols>
    <col min="1" max="1" width="9" style="47" bestFit="1" customWidth="1"/>
    <col min="2" max="2" width="23.6640625" style="47" bestFit="1" customWidth="1"/>
    <col min="3" max="3" width="9.5" style="47" customWidth="1"/>
    <col min="4" max="4" width="9.1640625" style="47" customWidth="1"/>
    <col min="5" max="5" width="17.1640625" style="55" bestFit="1" customWidth="1"/>
    <col min="6" max="6" width="9" style="53" bestFit="1" customWidth="1"/>
    <col min="7" max="7" width="10.5" style="47" bestFit="1" customWidth="1"/>
    <col min="8" max="10" width="9.6640625" style="47" bestFit="1" customWidth="1"/>
    <col min="11" max="11" width="8.83203125" style="47"/>
    <col min="12" max="14" width="9" style="47" bestFit="1" customWidth="1"/>
    <col min="15" max="15" width="10.6640625" style="47" customWidth="1"/>
    <col min="16" max="16" width="9" style="47" bestFit="1" customWidth="1"/>
    <col min="17" max="16384" width="8.83203125" style="47"/>
  </cols>
  <sheetData>
    <row r="3" spans="1:16" ht="17" thickBot="1" x14ac:dyDescent="0.25"/>
    <row r="4" spans="1:16" ht="17" thickTop="1" x14ac:dyDescent="0.2">
      <c r="A4" s="80" t="s">
        <v>39</v>
      </c>
      <c r="B4" s="82" t="s">
        <v>40</v>
      </c>
      <c r="C4" s="82" t="s">
        <v>41</v>
      </c>
      <c r="D4" s="84" t="s">
        <v>42</v>
      </c>
      <c r="E4" s="82" t="s">
        <v>43</v>
      </c>
      <c r="F4" s="82"/>
      <c r="G4" s="82" t="s">
        <v>44</v>
      </c>
      <c r="H4" s="82"/>
      <c r="I4" s="82"/>
      <c r="J4" s="86" t="s">
        <v>45</v>
      </c>
      <c r="L4" s="79" t="s">
        <v>39</v>
      </c>
      <c r="M4" s="78" t="s">
        <v>46</v>
      </c>
      <c r="N4" s="79" t="s">
        <v>47</v>
      </c>
      <c r="O4" s="79"/>
      <c r="P4" s="78" t="s">
        <v>48</v>
      </c>
    </row>
    <row r="5" spans="1:16" ht="34" x14ac:dyDescent="0.2">
      <c r="A5" s="81"/>
      <c r="B5" s="83"/>
      <c r="C5" s="83"/>
      <c r="D5" s="85"/>
      <c r="E5" s="56" t="s">
        <v>49</v>
      </c>
      <c r="F5" s="54" t="s">
        <v>50</v>
      </c>
      <c r="G5" s="52" t="s">
        <v>51</v>
      </c>
      <c r="H5" s="52" t="s">
        <v>52</v>
      </c>
      <c r="I5" s="52" t="s">
        <v>53</v>
      </c>
      <c r="J5" s="87"/>
      <c r="K5" s="48"/>
      <c r="L5" s="79"/>
      <c r="M5" s="78"/>
      <c r="N5" s="49" t="s">
        <v>54</v>
      </c>
      <c r="O5" s="50" t="s">
        <v>55</v>
      </c>
      <c r="P5" s="78"/>
    </row>
    <row r="6" spans="1:16" x14ac:dyDescent="0.2">
      <c r="A6" s="21">
        <v>1</v>
      </c>
      <c r="B6" s="57"/>
      <c r="C6" s="51" t="s">
        <v>54</v>
      </c>
      <c r="D6" s="58">
        <v>1000</v>
      </c>
      <c r="E6" s="59" t="e">
        <f>'MBA1'!AC18</f>
        <v>#DIV/0!</v>
      </c>
      <c r="F6" s="60" t="e">
        <f>'MBA1'!AC16</f>
        <v>#DIV/0!</v>
      </c>
      <c r="G6" s="61">
        <f>IF(C6="Silic",VLOOKUP(D6,$M$6:$P$19,2,1),VLOOKUP(D6,$M$6:$P$19,3,1))/1000</f>
        <v>0.98</v>
      </c>
      <c r="H6" s="61" t="e">
        <f>NS_DOC($M$6:$P$19,E6,4)/1000</f>
        <v>#VALUE!</v>
      </c>
      <c r="I6" s="61" t="e">
        <f>H6+G6</f>
        <v>#VALUE!</v>
      </c>
      <c r="J6" s="62" t="e">
        <f>I6/(E6*F6)%</f>
        <v>#VALUE!</v>
      </c>
      <c r="L6" s="51">
        <v>1</v>
      </c>
      <c r="M6" s="51">
        <v>100</v>
      </c>
      <c r="N6" s="51">
        <v>205</v>
      </c>
      <c r="O6" s="51">
        <v>75</v>
      </c>
      <c r="P6" s="51">
        <v>1258</v>
      </c>
    </row>
    <row r="7" spans="1:16" x14ac:dyDescent="0.2">
      <c r="L7" s="51">
        <v>2</v>
      </c>
      <c r="M7" s="51">
        <v>160</v>
      </c>
      <c r="N7" s="51">
        <v>280</v>
      </c>
      <c r="O7" s="51">
        <v>95</v>
      </c>
      <c r="P7" s="51">
        <v>1940</v>
      </c>
    </row>
    <row r="8" spans="1:16" x14ac:dyDescent="0.2">
      <c r="L8" s="51">
        <v>3</v>
      </c>
      <c r="M8" s="51">
        <v>180</v>
      </c>
      <c r="N8" s="51">
        <v>295</v>
      </c>
      <c r="O8" s="51">
        <v>115</v>
      </c>
      <c r="P8" s="51">
        <v>2090</v>
      </c>
    </row>
    <row r="9" spans="1:16" x14ac:dyDescent="0.2">
      <c r="L9" s="51">
        <v>4</v>
      </c>
      <c r="M9" s="51">
        <v>250</v>
      </c>
      <c r="N9" s="51">
        <v>340</v>
      </c>
      <c r="O9" s="51">
        <v>125</v>
      </c>
      <c r="P9" s="51">
        <v>2600</v>
      </c>
    </row>
    <row r="10" spans="1:16" x14ac:dyDescent="0.2">
      <c r="L10" s="51">
        <v>5</v>
      </c>
      <c r="M10" s="51">
        <v>320</v>
      </c>
      <c r="N10" s="51">
        <v>385</v>
      </c>
      <c r="O10" s="51">
        <v>145</v>
      </c>
      <c r="P10" s="51">
        <v>3170</v>
      </c>
    </row>
    <row r="11" spans="1:16" x14ac:dyDescent="0.2">
      <c r="L11" s="51">
        <v>6</v>
      </c>
      <c r="M11" s="51">
        <v>400</v>
      </c>
      <c r="N11" s="51">
        <v>433</v>
      </c>
      <c r="O11" s="51">
        <v>165</v>
      </c>
      <c r="P11" s="51">
        <v>3820</v>
      </c>
    </row>
    <row r="12" spans="1:16" x14ac:dyDescent="0.2">
      <c r="L12" s="51">
        <v>7</v>
      </c>
      <c r="M12" s="51">
        <v>560</v>
      </c>
      <c r="N12" s="51">
        <v>580</v>
      </c>
      <c r="O12" s="51">
        <v>220</v>
      </c>
      <c r="P12" s="51">
        <v>4810</v>
      </c>
    </row>
    <row r="13" spans="1:16" x14ac:dyDescent="0.2">
      <c r="L13" s="51">
        <v>8</v>
      </c>
      <c r="M13" s="51">
        <v>630</v>
      </c>
      <c r="N13" s="51">
        <v>787</v>
      </c>
      <c r="O13" s="51">
        <v>270</v>
      </c>
      <c r="P13" s="51">
        <v>5570</v>
      </c>
    </row>
    <row r="14" spans="1:16" x14ac:dyDescent="0.2">
      <c r="L14" s="51">
        <v>9</v>
      </c>
      <c r="M14" s="51">
        <v>750</v>
      </c>
      <c r="N14" s="51">
        <v>845</v>
      </c>
      <c r="O14" s="51">
        <v>290</v>
      </c>
      <c r="P14" s="51">
        <v>6540</v>
      </c>
    </row>
    <row r="15" spans="1:16" x14ac:dyDescent="0.2">
      <c r="L15" s="51">
        <v>10</v>
      </c>
      <c r="M15" s="51">
        <v>1000</v>
      </c>
      <c r="N15" s="51">
        <v>980</v>
      </c>
      <c r="O15" s="51">
        <v>350</v>
      </c>
      <c r="P15" s="51">
        <v>8550</v>
      </c>
    </row>
    <row r="16" spans="1:16" x14ac:dyDescent="0.2">
      <c r="L16" s="51">
        <v>11</v>
      </c>
      <c r="M16" s="51">
        <v>1250</v>
      </c>
      <c r="N16" s="51">
        <v>1115</v>
      </c>
      <c r="O16" s="51">
        <v>420</v>
      </c>
      <c r="P16" s="51">
        <v>10690</v>
      </c>
    </row>
    <row r="17" spans="12:16" x14ac:dyDescent="0.2">
      <c r="L17" s="51">
        <v>12</v>
      </c>
      <c r="M17" s="51">
        <v>1600</v>
      </c>
      <c r="N17" s="51">
        <v>1305</v>
      </c>
      <c r="O17" s="51">
        <v>490</v>
      </c>
      <c r="P17" s="51">
        <v>13680</v>
      </c>
    </row>
    <row r="18" spans="12:16" x14ac:dyDescent="0.2">
      <c r="L18" s="51">
        <v>13</v>
      </c>
      <c r="M18" s="51">
        <v>2000</v>
      </c>
      <c r="N18" s="51">
        <v>1500</v>
      </c>
      <c r="O18" s="51">
        <v>580</v>
      </c>
      <c r="P18" s="51">
        <v>17100</v>
      </c>
    </row>
    <row r="19" spans="12:16" x14ac:dyDescent="0.2">
      <c r="L19" s="51">
        <v>14</v>
      </c>
      <c r="M19" s="51">
        <v>2500</v>
      </c>
      <c r="N19" s="51">
        <v>1850</v>
      </c>
      <c r="O19" s="51">
        <v>900</v>
      </c>
      <c r="P19" s="51">
        <v>21000</v>
      </c>
    </row>
  </sheetData>
  <mergeCells count="11">
    <mergeCell ref="M4:M5"/>
    <mergeCell ref="N4:O4"/>
    <mergeCell ref="P4:P5"/>
    <mergeCell ref="A4:A5"/>
    <mergeCell ref="B4:B5"/>
    <mergeCell ref="L4:L5"/>
    <mergeCell ref="C4:C5"/>
    <mergeCell ref="D4:D5"/>
    <mergeCell ref="E4:F4"/>
    <mergeCell ref="G4:I4"/>
    <mergeCell ref="J4:J5"/>
  </mergeCells>
  <phoneticPr fontId="7" type="noConversion"/>
  <dataValidations count="1">
    <dataValidation type="list" allowBlank="1" showInputMessage="1" showErrorMessage="1" sqref="C6" xr:uid="{EB14AB8D-AA6E-446D-8C17-68E254B314C6}">
      <formula1>"Silic, Siêu giảm tổn thất"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B7DFB-D35B-47E8-8322-018E2B648DCD}">
  <dimension ref="A7:K32"/>
  <sheetViews>
    <sheetView zoomScale="140" zoomScaleNormal="85" workbookViewId="0">
      <selection activeCell="F10" sqref="F10"/>
    </sheetView>
  </sheetViews>
  <sheetFormatPr baseColWidth="10" defaultColWidth="12.1640625" defaultRowHeight="16" x14ac:dyDescent="0.2"/>
  <cols>
    <col min="1" max="1" width="6.5" style="26" customWidth="1"/>
    <col min="2" max="2" width="10.1640625" style="26" customWidth="1"/>
    <col min="3" max="3" width="12.1640625" style="26"/>
    <col min="4" max="4" width="25.5" style="26" bestFit="1" customWidth="1"/>
    <col min="5" max="5" width="19.5" style="26" bestFit="1" customWidth="1"/>
    <col min="6" max="6" width="23.6640625" style="26" bestFit="1" customWidth="1"/>
    <col min="7" max="16384" width="12.1640625" style="26"/>
  </cols>
  <sheetData>
    <row r="7" spans="1:11" ht="17" thickBot="1" x14ac:dyDescent="0.25"/>
    <row r="8" spans="1:11" ht="17" thickTop="1" x14ac:dyDescent="0.2">
      <c r="A8" s="95"/>
      <c r="B8" s="96" t="s">
        <v>39</v>
      </c>
      <c r="C8" s="98" t="s">
        <v>40</v>
      </c>
      <c r="D8" s="100" t="s">
        <v>42</v>
      </c>
      <c r="E8" s="88" t="s">
        <v>43</v>
      </c>
      <c r="F8" s="89"/>
      <c r="G8" s="88" t="s">
        <v>56</v>
      </c>
      <c r="H8" s="89"/>
      <c r="I8" s="88" t="s">
        <v>57</v>
      </c>
      <c r="J8" s="89"/>
      <c r="K8" s="90" t="s">
        <v>45</v>
      </c>
    </row>
    <row r="9" spans="1:11" x14ac:dyDescent="0.2">
      <c r="A9" s="95"/>
      <c r="B9" s="97"/>
      <c r="C9" s="99"/>
      <c r="D9" s="101"/>
      <c r="E9" s="27" t="s">
        <v>49</v>
      </c>
      <c r="F9" s="27" t="s">
        <v>50</v>
      </c>
      <c r="G9" s="27" t="s">
        <v>58</v>
      </c>
      <c r="H9" s="27" t="s">
        <v>59</v>
      </c>
      <c r="I9" s="27" t="s">
        <v>60</v>
      </c>
      <c r="J9" s="27" t="s">
        <v>61</v>
      </c>
      <c r="K9" s="91"/>
    </row>
    <row r="10" spans="1:11" ht="18" thickBot="1" x14ac:dyDescent="0.25">
      <c r="A10" s="28"/>
      <c r="B10" s="29">
        <v>1</v>
      </c>
      <c r="C10" s="30" t="s">
        <v>67</v>
      </c>
      <c r="D10" s="31">
        <v>800</v>
      </c>
      <c r="E10" s="32" t="e">
        <f>#REF!</f>
        <v>#REF!</v>
      </c>
      <c r="F10" s="33" t="e">
        <f>#REF!</f>
        <v>#REF!</v>
      </c>
      <c r="G10" s="34">
        <f>VLOOKUP(D10,$C$15:$F$31,2,1)/1000</f>
        <v>1.9</v>
      </c>
      <c r="H10" s="34">
        <f>VLOOKUP(D10,$C$15:$F$31,3,1)/1000</f>
        <v>7.5</v>
      </c>
      <c r="I10" s="35" t="e">
        <f>H10*(E10/D10)^2</f>
        <v>#REF!</v>
      </c>
      <c r="J10" s="35" t="e">
        <f>I10+G10</f>
        <v>#REF!</v>
      </c>
      <c r="K10" s="36" t="e">
        <f>J10/(E10*F10)%</f>
        <v>#REF!</v>
      </c>
    </row>
    <row r="11" spans="1:11" ht="17" thickTop="1" x14ac:dyDescent="0.2"/>
    <row r="12" spans="1:11" ht="17" thickBot="1" x14ac:dyDescent="0.25"/>
    <row r="13" spans="1:11" ht="17" thickTop="1" x14ac:dyDescent="0.2">
      <c r="B13" s="92" t="s">
        <v>63</v>
      </c>
      <c r="C13" s="93"/>
      <c r="D13" s="93"/>
      <c r="E13" s="93"/>
      <c r="F13" s="94"/>
    </row>
    <row r="14" spans="1:11" x14ac:dyDescent="0.2">
      <c r="B14" s="37" t="s">
        <v>39</v>
      </c>
      <c r="C14" s="38" t="s">
        <v>64</v>
      </c>
      <c r="D14" s="38" t="s">
        <v>65</v>
      </c>
      <c r="E14" s="38" t="s">
        <v>66</v>
      </c>
      <c r="F14" s="39" t="s">
        <v>66</v>
      </c>
      <c r="G14" s="40"/>
    </row>
    <row r="15" spans="1:11" x14ac:dyDescent="0.2">
      <c r="B15" s="41">
        <v>1</v>
      </c>
      <c r="C15" s="42">
        <v>250</v>
      </c>
      <c r="D15" s="42">
        <v>900</v>
      </c>
      <c r="E15" s="42">
        <v>3150</v>
      </c>
      <c r="F15" s="43">
        <v>3600</v>
      </c>
      <c r="G15" s="40"/>
    </row>
    <row r="16" spans="1:11" x14ac:dyDescent="0.2">
      <c r="B16" s="41">
        <v>2</v>
      </c>
      <c r="C16" s="42">
        <v>320</v>
      </c>
      <c r="D16" s="42">
        <v>1050</v>
      </c>
      <c r="E16" s="42">
        <v>3700</v>
      </c>
      <c r="F16" s="43">
        <v>4200</v>
      </c>
      <c r="G16" s="40"/>
    </row>
    <row r="17" spans="2:7" x14ac:dyDescent="0.2">
      <c r="B17" s="41">
        <v>3</v>
      </c>
      <c r="C17" s="42">
        <v>400</v>
      </c>
      <c r="D17" s="42">
        <v>1100</v>
      </c>
      <c r="E17" s="42">
        <v>4300</v>
      </c>
      <c r="F17" s="43">
        <v>4900</v>
      </c>
      <c r="G17" s="40"/>
    </row>
    <row r="18" spans="2:7" x14ac:dyDescent="0.2">
      <c r="B18" s="41">
        <v>4</v>
      </c>
      <c r="C18" s="42">
        <v>560</v>
      </c>
      <c r="D18" s="42">
        <v>1320</v>
      </c>
      <c r="E18" s="42">
        <v>5300</v>
      </c>
      <c r="F18" s="43">
        <v>6000</v>
      </c>
      <c r="G18" s="40"/>
    </row>
    <row r="19" spans="2:7" x14ac:dyDescent="0.2">
      <c r="B19" s="41">
        <v>5</v>
      </c>
      <c r="C19" s="42">
        <v>630</v>
      </c>
      <c r="D19" s="42">
        <v>1600</v>
      </c>
      <c r="E19" s="42">
        <v>5700</v>
      </c>
      <c r="F19" s="43">
        <v>6500</v>
      </c>
      <c r="G19" s="40"/>
    </row>
    <row r="20" spans="2:7" x14ac:dyDescent="0.2">
      <c r="B20" s="41">
        <v>6</v>
      </c>
      <c r="C20" s="42">
        <v>750</v>
      </c>
      <c r="D20" s="42">
        <v>1900</v>
      </c>
      <c r="E20" s="42">
        <v>6600</v>
      </c>
      <c r="F20" s="43">
        <v>7471</v>
      </c>
      <c r="G20" s="40"/>
    </row>
    <row r="21" spans="2:7" x14ac:dyDescent="0.2">
      <c r="B21" s="41">
        <v>7</v>
      </c>
      <c r="C21" s="42">
        <v>800</v>
      </c>
      <c r="D21" s="42">
        <v>1900</v>
      </c>
      <c r="E21" s="42">
        <v>7500</v>
      </c>
      <c r="F21" s="43">
        <v>8500</v>
      </c>
      <c r="G21" s="40"/>
    </row>
    <row r="22" spans="2:7" x14ac:dyDescent="0.2">
      <c r="B22" s="41">
        <v>8</v>
      </c>
      <c r="C22" s="42">
        <v>1000</v>
      </c>
      <c r="D22" s="42">
        <v>2200</v>
      </c>
      <c r="E22" s="42">
        <v>8800</v>
      </c>
      <c r="F22" s="43">
        <v>10000</v>
      </c>
      <c r="G22" s="40"/>
    </row>
    <row r="23" spans="2:7" x14ac:dyDescent="0.2">
      <c r="B23" s="41">
        <v>9</v>
      </c>
      <c r="C23" s="42">
        <v>1250</v>
      </c>
      <c r="D23" s="42">
        <v>2650</v>
      </c>
      <c r="E23" s="42">
        <v>9800</v>
      </c>
      <c r="F23" s="43">
        <v>11000</v>
      </c>
      <c r="G23" s="40"/>
    </row>
    <row r="24" spans="2:7" x14ac:dyDescent="0.2">
      <c r="B24" s="41">
        <v>10</v>
      </c>
      <c r="C24" s="42">
        <v>1500</v>
      </c>
      <c r="D24" s="42">
        <v>2900</v>
      </c>
      <c r="E24" s="42">
        <v>10200</v>
      </c>
      <c r="F24" s="43">
        <v>11426</v>
      </c>
      <c r="G24" s="40"/>
    </row>
    <row r="25" spans="2:7" x14ac:dyDescent="0.2">
      <c r="B25" s="41">
        <v>11</v>
      </c>
      <c r="C25" s="42">
        <v>1600</v>
      </c>
      <c r="D25" s="42">
        <v>2900</v>
      </c>
      <c r="E25" s="42">
        <v>11500</v>
      </c>
      <c r="F25" s="43">
        <v>13000</v>
      </c>
      <c r="G25" s="40"/>
    </row>
    <row r="26" spans="2:7" x14ac:dyDescent="0.2">
      <c r="B26" s="41">
        <v>12</v>
      </c>
      <c r="C26" s="42">
        <v>2000</v>
      </c>
      <c r="D26" s="42">
        <v>3500</v>
      </c>
      <c r="E26" s="42">
        <v>14200</v>
      </c>
      <c r="F26" s="43">
        <v>16000</v>
      </c>
      <c r="G26" s="40"/>
    </row>
    <row r="27" spans="2:7" x14ac:dyDescent="0.2">
      <c r="B27" s="41">
        <v>13</v>
      </c>
      <c r="C27" s="42">
        <v>2500</v>
      </c>
      <c r="D27" s="42">
        <v>4300</v>
      </c>
      <c r="E27" s="42">
        <v>16900</v>
      </c>
      <c r="F27" s="43">
        <v>19000</v>
      </c>
      <c r="G27" s="40"/>
    </row>
    <row r="28" spans="2:7" x14ac:dyDescent="0.2">
      <c r="B28" s="41">
        <v>14</v>
      </c>
      <c r="C28" s="42">
        <v>3000</v>
      </c>
      <c r="D28" s="42">
        <v>4900</v>
      </c>
      <c r="E28" s="42">
        <v>19600</v>
      </c>
      <c r="F28" s="43">
        <v>22000</v>
      </c>
      <c r="G28" s="40"/>
    </row>
    <row r="29" spans="2:7" x14ac:dyDescent="0.2">
      <c r="B29" s="41">
        <v>15</v>
      </c>
      <c r="C29" s="42">
        <v>3200</v>
      </c>
      <c r="D29" s="42">
        <v>5200</v>
      </c>
      <c r="E29" s="42">
        <v>20400</v>
      </c>
      <c r="F29" s="43">
        <v>23000</v>
      </c>
      <c r="G29" s="40"/>
    </row>
    <row r="30" spans="2:7" x14ac:dyDescent="0.2">
      <c r="B30" s="41">
        <v>16</v>
      </c>
      <c r="C30" s="42">
        <v>3500</v>
      </c>
      <c r="D30" s="42">
        <v>5700</v>
      </c>
      <c r="E30" s="42">
        <v>22300</v>
      </c>
      <c r="F30" s="43">
        <v>25000</v>
      </c>
      <c r="G30" s="40"/>
    </row>
    <row r="31" spans="2:7" ht="17" thickBot="1" x14ac:dyDescent="0.25">
      <c r="B31" s="41">
        <v>17</v>
      </c>
      <c r="C31" s="44">
        <v>4000</v>
      </c>
      <c r="D31" s="44">
        <v>6200</v>
      </c>
      <c r="E31" s="44">
        <v>24100</v>
      </c>
      <c r="F31" s="45">
        <v>27000</v>
      </c>
      <c r="G31" s="40"/>
    </row>
    <row r="32" spans="2:7" ht="17" thickTop="1" x14ac:dyDescent="0.2"/>
  </sheetData>
  <mergeCells count="9">
    <mergeCell ref="I8:J8"/>
    <mergeCell ref="K8:K9"/>
    <mergeCell ref="B13:F13"/>
    <mergeCell ref="A8:A9"/>
    <mergeCell ref="B8:B9"/>
    <mergeCell ref="C8:C9"/>
    <mergeCell ref="D8:D9"/>
    <mergeCell ref="E8:F8"/>
    <mergeCell ref="G8:H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DA073-EF0B-4042-B741-0BBC28979CD1}">
  <dimension ref="A7:K32"/>
  <sheetViews>
    <sheetView zoomScale="166" zoomScaleNormal="70" workbookViewId="0">
      <selection activeCell="J15" sqref="J15"/>
    </sheetView>
  </sheetViews>
  <sheetFormatPr baseColWidth="10" defaultColWidth="12.1640625" defaultRowHeight="16" x14ac:dyDescent="0.2"/>
  <cols>
    <col min="1" max="1" width="6.5" style="26" customWidth="1"/>
    <col min="2" max="2" width="10.1640625" style="26" customWidth="1"/>
    <col min="3" max="3" width="12.1640625" style="26"/>
    <col min="4" max="4" width="25.5" style="26" bestFit="1" customWidth="1"/>
    <col min="5" max="5" width="19.5" style="26" bestFit="1" customWidth="1"/>
    <col min="6" max="6" width="23.6640625" style="26" bestFit="1" customWidth="1"/>
    <col min="7" max="16384" width="12.1640625" style="26"/>
  </cols>
  <sheetData>
    <row r="7" spans="1:11" ht="17" thickBot="1" x14ac:dyDescent="0.25"/>
    <row r="8" spans="1:11" ht="17" thickTop="1" x14ac:dyDescent="0.2">
      <c r="A8" s="95"/>
      <c r="B8" s="96" t="s">
        <v>39</v>
      </c>
      <c r="C8" s="98" t="s">
        <v>40</v>
      </c>
      <c r="D8" s="100" t="s">
        <v>42</v>
      </c>
      <c r="E8" s="88" t="s">
        <v>43</v>
      </c>
      <c r="F8" s="89"/>
      <c r="G8" s="88" t="s">
        <v>56</v>
      </c>
      <c r="H8" s="89"/>
      <c r="I8" s="88" t="s">
        <v>57</v>
      </c>
      <c r="J8" s="89"/>
      <c r="K8" s="90" t="s">
        <v>45</v>
      </c>
    </row>
    <row r="9" spans="1:11" x14ac:dyDescent="0.2">
      <c r="A9" s="95"/>
      <c r="B9" s="97"/>
      <c r="C9" s="99"/>
      <c r="D9" s="101"/>
      <c r="E9" s="27" t="s">
        <v>49</v>
      </c>
      <c r="F9" s="27" t="s">
        <v>50</v>
      </c>
      <c r="G9" s="27" t="s">
        <v>58</v>
      </c>
      <c r="H9" s="27" t="s">
        <v>59</v>
      </c>
      <c r="I9" s="27" t="s">
        <v>60</v>
      </c>
      <c r="J9" s="27" t="s">
        <v>61</v>
      </c>
      <c r="K9" s="91"/>
    </row>
    <row r="10" spans="1:11" ht="18" thickBot="1" x14ac:dyDescent="0.25">
      <c r="A10" s="28"/>
      <c r="B10" s="29">
        <v>1</v>
      </c>
      <c r="C10" s="30" t="s">
        <v>62</v>
      </c>
      <c r="D10" s="31">
        <v>2000</v>
      </c>
      <c r="E10" s="32">
        <v>724</v>
      </c>
      <c r="F10" s="33">
        <v>0.95099999999999996</v>
      </c>
      <c r="G10" s="34">
        <f>VLOOKUP(D10,$C$15:$F$31,2,1)/1000</f>
        <v>3.5</v>
      </c>
      <c r="H10" s="34">
        <f>VLOOKUP(D10,$C$15:$F$31,3,1)/1000</f>
        <v>14.2</v>
      </c>
      <c r="I10" s="35">
        <f>H10*(E10/D10)^2</f>
        <v>1.8608247999999998</v>
      </c>
      <c r="J10" s="35">
        <f>I10+G10</f>
        <v>5.3608247999999996</v>
      </c>
      <c r="K10" s="36">
        <f>J10/(E10*F10)%</f>
        <v>0.77859665022570024</v>
      </c>
    </row>
    <row r="11" spans="1:11" ht="17" thickTop="1" x14ac:dyDescent="0.2"/>
    <row r="12" spans="1:11" ht="17" thickBot="1" x14ac:dyDescent="0.25"/>
    <row r="13" spans="1:11" ht="17" thickTop="1" x14ac:dyDescent="0.2">
      <c r="B13" s="92" t="s">
        <v>63</v>
      </c>
      <c r="C13" s="93"/>
      <c r="D13" s="93"/>
      <c r="E13" s="93"/>
      <c r="F13" s="94"/>
    </row>
    <row r="14" spans="1:11" x14ac:dyDescent="0.2">
      <c r="B14" s="37" t="s">
        <v>39</v>
      </c>
      <c r="C14" s="38" t="s">
        <v>64</v>
      </c>
      <c r="D14" s="38" t="s">
        <v>65</v>
      </c>
      <c r="E14" s="38" t="s">
        <v>66</v>
      </c>
      <c r="F14" s="39" t="s">
        <v>66</v>
      </c>
      <c r="G14" s="40"/>
    </row>
    <row r="15" spans="1:11" x14ac:dyDescent="0.2">
      <c r="B15" s="41">
        <v>1</v>
      </c>
      <c r="C15" s="42">
        <v>250</v>
      </c>
      <c r="D15" s="42">
        <v>900</v>
      </c>
      <c r="E15" s="42">
        <v>3150</v>
      </c>
      <c r="F15" s="43">
        <v>3600</v>
      </c>
      <c r="G15" s="40"/>
    </row>
    <row r="16" spans="1:11" x14ac:dyDescent="0.2">
      <c r="B16" s="41">
        <v>2</v>
      </c>
      <c r="C16" s="42">
        <v>320</v>
      </c>
      <c r="D16" s="42">
        <v>1050</v>
      </c>
      <c r="E16" s="42">
        <v>3700</v>
      </c>
      <c r="F16" s="43">
        <v>4200</v>
      </c>
      <c r="G16" s="40"/>
    </row>
    <row r="17" spans="2:7" x14ac:dyDescent="0.2">
      <c r="B17" s="41">
        <v>3</v>
      </c>
      <c r="C17" s="42">
        <v>400</v>
      </c>
      <c r="D17" s="42">
        <v>1100</v>
      </c>
      <c r="E17" s="42">
        <v>4300</v>
      </c>
      <c r="F17" s="43">
        <v>4900</v>
      </c>
      <c r="G17" s="40"/>
    </row>
    <row r="18" spans="2:7" x14ac:dyDescent="0.2">
      <c r="B18" s="41">
        <v>4</v>
      </c>
      <c r="C18" s="42">
        <v>560</v>
      </c>
      <c r="D18" s="42">
        <v>1320</v>
      </c>
      <c r="E18" s="42">
        <v>5300</v>
      </c>
      <c r="F18" s="43">
        <v>6000</v>
      </c>
      <c r="G18" s="40"/>
    </row>
    <row r="19" spans="2:7" x14ac:dyDescent="0.2">
      <c r="B19" s="41">
        <v>5</v>
      </c>
      <c r="C19" s="42">
        <v>630</v>
      </c>
      <c r="D19" s="42">
        <v>1600</v>
      </c>
      <c r="E19" s="42">
        <v>5700</v>
      </c>
      <c r="F19" s="43">
        <v>6500</v>
      </c>
      <c r="G19" s="40"/>
    </row>
    <row r="20" spans="2:7" x14ac:dyDescent="0.2">
      <c r="B20" s="41">
        <v>6</v>
      </c>
      <c r="C20" s="42">
        <v>750</v>
      </c>
      <c r="D20" s="42">
        <v>1900</v>
      </c>
      <c r="E20" s="42">
        <v>6600</v>
      </c>
      <c r="F20" s="43">
        <v>7471</v>
      </c>
      <c r="G20" s="40"/>
    </row>
    <row r="21" spans="2:7" x14ac:dyDescent="0.2">
      <c r="B21" s="41">
        <v>7</v>
      </c>
      <c r="C21" s="42">
        <v>800</v>
      </c>
      <c r="D21" s="42">
        <v>1900</v>
      </c>
      <c r="E21" s="42">
        <v>7500</v>
      </c>
      <c r="F21" s="43">
        <v>8500</v>
      </c>
      <c r="G21" s="40"/>
    </row>
    <row r="22" spans="2:7" x14ac:dyDescent="0.2">
      <c r="B22" s="41">
        <v>8</v>
      </c>
      <c r="C22" s="42">
        <v>1000</v>
      </c>
      <c r="D22" s="42">
        <v>2200</v>
      </c>
      <c r="E22" s="42">
        <v>8800</v>
      </c>
      <c r="F22" s="43">
        <v>10000</v>
      </c>
      <c r="G22" s="40"/>
    </row>
    <row r="23" spans="2:7" x14ac:dyDescent="0.2">
      <c r="B23" s="41">
        <v>9</v>
      </c>
      <c r="C23" s="42">
        <v>1250</v>
      </c>
      <c r="D23" s="42">
        <v>2650</v>
      </c>
      <c r="E23" s="42">
        <v>9800</v>
      </c>
      <c r="F23" s="43">
        <v>11000</v>
      </c>
      <c r="G23" s="40"/>
    </row>
    <row r="24" spans="2:7" x14ac:dyDescent="0.2">
      <c r="B24" s="41">
        <v>10</v>
      </c>
      <c r="C24" s="42">
        <v>1500</v>
      </c>
      <c r="D24" s="42">
        <v>2900</v>
      </c>
      <c r="E24" s="42">
        <v>10200</v>
      </c>
      <c r="F24" s="43">
        <v>11426</v>
      </c>
      <c r="G24" s="40"/>
    </row>
    <row r="25" spans="2:7" x14ac:dyDescent="0.2">
      <c r="B25" s="41">
        <v>11</v>
      </c>
      <c r="C25" s="42">
        <v>1600</v>
      </c>
      <c r="D25" s="42">
        <v>2900</v>
      </c>
      <c r="E25" s="42">
        <v>11500</v>
      </c>
      <c r="F25" s="43">
        <v>13000</v>
      </c>
      <c r="G25" s="40"/>
    </row>
    <row r="26" spans="2:7" x14ac:dyDescent="0.2">
      <c r="B26" s="41">
        <v>12</v>
      </c>
      <c r="C26" s="42">
        <v>2000</v>
      </c>
      <c r="D26" s="42">
        <v>3500</v>
      </c>
      <c r="E26" s="42">
        <v>14200</v>
      </c>
      <c r="F26" s="43">
        <v>16000</v>
      </c>
      <c r="G26" s="40"/>
    </row>
    <row r="27" spans="2:7" x14ac:dyDescent="0.2">
      <c r="B27" s="41">
        <v>13</v>
      </c>
      <c r="C27" s="42">
        <v>2500</v>
      </c>
      <c r="D27" s="42">
        <v>4300</v>
      </c>
      <c r="E27" s="42">
        <v>16900</v>
      </c>
      <c r="F27" s="43">
        <v>19000</v>
      </c>
      <c r="G27" s="40"/>
    </row>
    <row r="28" spans="2:7" x14ac:dyDescent="0.2">
      <c r="B28" s="41">
        <v>14</v>
      </c>
      <c r="C28" s="42">
        <v>3000</v>
      </c>
      <c r="D28" s="42">
        <v>4900</v>
      </c>
      <c r="E28" s="42">
        <v>19600</v>
      </c>
      <c r="F28" s="43">
        <v>22000</v>
      </c>
      <c r="G28" s="40"/>
    </row>
    <row r="29" spans="2:7" x14ac:dyDescent="0.2">
      <c r="B29" s="41">
        <v>15</v>
      </c>
      <c r="C29" s="42">
        <v>3200</v>
      </c>
      <c r="D29" s="42">
        <v>5200</v>
      </c>
      <c r="E29" s="42">
        <v>20400</v>
      </c>
      <c r="F29" s="43">
        <v>23000</v>
      </c>
      <c r="G29" s="40"/>
    </row>
    <row r="30" spans="2:7" x14ac:dyDescent="0.2">
      <c r="B30" s="41">
        <v>16</v>
      </c>
      <c r="C30" s="42">
        <v>3500</v>
      </c>
      <c r="D30" s="42">
        <v>5700</v>
      </c>
      <c r="E30" s="42">
        <v>22300</v>
      </c>
      <c r="F30" s="43">
        <v>25000</v>
      </c>
      <c r="G30" s="40"/>
    </row>
    <row r="31" spans="2:7" ht="17" thickBot="1" x14ac:dyDescent="0.25">
      <c r="B31" s="41">
        <v>17</v>
      </c>
      <c r="C31" s="44">
        <v>4000</v>
      </c>
      <c r="D31" s="44">
        <v>6200</v>
      </c>
      <c r="E31" s="44">
        <v>24100</v>
      </c>
      <c r="F31" s="45">
        <v>27000</v>
      </c>
      <c r="G31" s="40"/>
    </row>
    <row r="32" spans="2:7" ht="17" thickTop="1" x14ac:dyDescent="0.2"/>
  </sheetData>
  <mergeCells count="9">
    <mergeCell ref="I8:J8"/>
    <mergeCell ref="K8:K9"/>
    <mergeCell ref="B13:F13"/>
    <mergeCell ref="A8:A9"/>
    <mergeCell ref="B8:B9"/>
    <mergeCell ref="C8:C9"/>
    <mergeCell ref="D8:D9"/>
    <mergeCell ref="E8:F8"/>
    <mergeCell ref="G8:H8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MBA1</vt:lpstr>
      <vt:lpstr>Tổn thất MBA</vt:lpstr>
      <vt:lpstr>TT MBA khô</vt:lpstr>
      <vt:lpstr>Tổn thất MBA khô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ta</dc:creator>
  <cp:lastModifiedBy>Minh Vũ</cp:lastModifiedBy>
  <dcterms:created xsi:type="dcterms:W3CDTF">2023-05-17T02:55:01Z</dcterms:created>
  <dcterms:modified xsi:type="dcterms:W3CDTF">2026-05-16T16:43:55Z</dcterms:modified>
</cp:coreProperties>
</file>